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inusianorg-my.sharepoint.com/personal/santoso_budijono_binus_ac_id/Documents/2025-2026/25.2/PAPER - CITISMA/CALORIMETER_DATA/"/>
    </mc:Choice>
  </mc:AlternateContent>
  <xr:revisionPtr revIDLastSave="0" documentId="8_{558B81F9-5B2C-4062-AF14-69D36B5A89BC}" xr6:coauthVersionLast="47" xr6:coauthVersionMax="47" xr10:uidLastSave="{00000000-0000-0000-0000-000000000000}"/>
  <bookViews>
    <workbookView xWindow="-108" yWindow="-16308" windowWidth="29016" windowHeight="15696" tabRatio="805" firstSheet="6" activeTab="16" xr2:uid="{00000000-000D-0000-FFFF-FFFF00000000}"/>
  </bookViews>
  <sheets>
    <sheet name="500 cc 1s" sheetId="1" r:id="rId1"/>
    <sheet name="200 cc 0.75s" sheetId="2" r:id="rId2"/>
    <sheet name="Kalibrasi CO2 1" sheetId="6" r:id="rId3"/>
    <sheet name="Kalibrasi CO2 2" sheetId="7" r:id="rId4"/>
    <sheet name="Sheet2" sheetId="5" r:id="rId5"/>
    <sheet name="Kalibrasi O2 1" sheetId="9" r:id="rId6"/>
    <sheet name="Kalibrasi O2 2" sheetId="8" r:id="rId7"/>
    <sheet name="PENGAMBILAN DATA" sheetId="11" r:id="rId8"/>
    <sheet name="Istirahat #1" sheetId="13" r:id="rId9"/>
    <sheet name="Istirahat #2" sheetId="12" r:id="rId10"/>
    <sheet name="Istirahat #3" sheetId="14" r:id="rId11"/>
    <sheet name="Jalan 2 kmh #1" sheetId="15" r:id="rId12"/>
    <sheet name="Jalan 2 kmh #2" sheetId="16" r:id="rId13"/>
    <sheet name="Jalan 2 kmh #3" sheetId="17" r:id="rId14"/>
    <sheet name="Jogging 4 kmh #1" sheetId="18" r:id="rId15"/>
    <sheet name="Jogging 4 kmh #2" sheetId="19" r:id="rId16"/>
    <sheet name="Jogging 4kmh #3" sheetId="20" r:id="rId17"/>
    <sheet name="100 cc 0.5s" sheetId="3" state="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0" l="1"/>
  <c r="E15" i="20"/>
  <c r="D15" i="20"/>
  <c r="C15" i="20"/>
  <c r="F14" i="20"/>
  <c r="E14" i="20"/>
  <c r="D14" i="20"/>
  <c r="C14" i="20"/>
  <c r="F15" i="19"/>
  <c r="E15" i="19"/>
  <c r="D15" i="19"/>
  <c r="C15" i="19"/>
  <c r="F14" i="19"/>
  <c r="E14" i="19"/>
  <c r="D14" i="19"/>
  <c r="C14" i="19"/>
  <c r="F15" i="18"/>
  <c r="E15" i="18"/>
  <c r="D15" i="18"/>
  <c r="C15" i="18"/>
  <c r="F14" i="18"/>
  <c r="E14" i="18"/>
  <c r="D14" i="18"/>
  <c r="C14" i="18"/>
  <c r="F15" i="17"/>
  <c r="E15" i="17"/>
  <c r="D15" i="17"/>
  <c r="C15" i="17"/>
  <c r="F14" i="17"/>
  <c r="E14" i="17"/>
  <c r="D14" i="17"/>
  <c r="C14" i="17"/>
  <c r="F15" i="16"/>
  <c r="E15" i="16"/>
  <c r="D15" i="16"/>
  <c r="C15" i="16"/>
  <c r="F14" i="16"/>
  <c r="E14" i="16"/>
  <c r="D14" i="16"/>
  <c r="C14" i="16"/>
  <c r="F15" i="15"/>
  <c r="E15" i="15"/>
  <c r="D15" i="15"/>
  <c r="C15" i="15"/>
  <c r="F14" i="15"/>
  <c r="E14" i="15"/>
  <c r="D14" i="15"/>
  <c r="C14" i="15"/>
  <c r="F15" i="14"/>
  <c r="E15" i="14"/>
  <c r="D15" i="14"/>
  <c r="C15" i="14"/>
  <c r="F14" i="14"/>
  <c r="E14" i="14"/>
  <c r="D14" i="14"/>
  <c r="C14" i="14"/>
  <c r="F15" i="13"/>
  <c r="E15" i="13"/>
  <c r="D15" i="13"/>
  <c r="C15" i="13"/>
  <c r="F14" i="13"/>
  <c r="E14" i="13"/>
  <c r="D14" i="13"/>
  <c r="C14" i="13"/>
  <c r="F15" i="12"/>
  <c r="E15" i="12"/>
  <c r="D15" i="12"/>
  <c r="C15" i="12"/>
  <c r="F14" i="12"/>
  <c r="E14" i="12"/>
  <c r="D14" i="12"/>
  <c r="C14" i="12"/>
  <c r="D72" i="9"/>
  <c r="C72" i="9"/>
  <c r="D57" i="8"/>
  <c r="C57" i="8"/>
  <c r="D27" i="7"/>
  <c r="C27" i="7"/>
  <c r="C35" i="6"/>
  <c r="D35" i="6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F5" i="1" l="1"/>
  <c r="E5" i="1"/>
  <c r="F6" i="1"/>
  <c r="E6" i="1"/>
  <c r="F7" i="1"/>
  <c r="E7" i="1"/>
  <c r="F8" i="1"/>
  <c r="E8" i="1"/>
  <c r="F9" i="1"/>
  <c r="E9" i="1"/>
  <c r="F10" i="1"/>
  <c r="E10" i="1"/>
  <c r="F11" i="1"/>
  <c r="E11" i="1"/>
  <c r="F12" i="1"/>
  <c r="E12" i="1"/>
  <c r="F13" i="1"/>
  <c r="E13" i="1"/>
  <c r="F14" i="1"/>
  <c r="E14" i="1"/>
  <c r="F15" i="1"/>
  <c r="E15" i="1"/>
  <c r="F16" i="1"/>
  <c r="E16" i="1"/>
  <c r="F17" i="1"/>
  <c r="E17" i="1"/>
  <c r="F18" i="1"/>
  <c r="E18" i="1"/>
  <c r="F19" i="1"/>
  <c r="E19" i="1"/>
  <c r="F20" i="1"/>
  <c r="E20" i="1"/>
  <c r="F21" i="1"/>
  <c r="E21" i="1"/>
  <c r="F22" i="1"/>
  <c r="E22" i="1"/>
  <c r="F23" i="1"/>
  <c r="E23" i="1"/>
  <c r="F24" i="1"/>
  <c r="E24" i="1"/>
  <c r="F25" i="1"/>
  <c r="E25" i="1"/>
  <c r="F26" i="1"/>
  <c r="E26" i="1"/>
  <c r="F27" i="1"/>
  <c r="E27" i="1"/>
  <c r="F28" i="1"/>
  <c r="E28" i="1"/>
  <c r="F29" i="1"/>
  <c r="E29" i="1"/>
  <c r="F7" i="2"/>
  <c r="E7" i="2"/>
  <c r="F8" i="2"/>
  <c r="E8" i="2"/>
  <c r="F9" i="2"/>
  <c r="E9" i="2"/>
  <c r="F10" i="2"/>
  <c r="E10" i="2"/>
  <c r="F11" i="2"/>
  <c r="E11" i="2"/>
  <c r="F12" i="2"/>
  <c r="E12" i="2"/>
  <c r="F13" i="2"/>
  <c r="E13" i="2"/>
  <c r="F14" i="2"/>
  <c r="E14" i="2"/>
  <c r="F15" i="2"/>
  <c r="E15" i="2"/>
  <c r="F16" i="2"/>
  <c r="E16" i="2"/>
  <c r="F17" i="2"/>
  <c r="E17" i="2"/>
  <c r="F18" i="2"/>
  <c r="E18" i="2"/>
  <c r="F19" i="2"/>
  <c r="E19" i="2"/>
  <c r="F20" i="2"/>
  <c r="E20" i="2"/>
  <c r="F21" i="2"/>
  <c r="E21" i="2"/>
  <c r="F22" i="2"/>
  <c r="E22" i="2"/>
  <c r="F23" i="2"/>
  <c r="E23" i="2"/>
  <c r="F24" i="2"/>
  <c r="E24" i="2"/>
  <c r="F25" i="2"/>
  <c r="E25" i="2"/>
  <c r="F26" i="2"/>
  <c r="E26" i="2"/>
  <c r="F27" i="2"/>
  <c r="E27" i="2"/>
  <c r="F28" i="2"/>
  <c r="E28" i="2"/>
  <c r="F29" i="2"/>
  <c r="E29" i="2"/>
  <c r="F30" i="2"/>
  <c r="E30" i="2"/>
  <c r="F31" i="2"/>
  <c r="E31" i="2"/>
  <c r="F5" i="3"/>
  <c r="E5" i="3"/>
  <c r="F6" i="3"/>
  <c r="E6" i="3"/>
  <c r="F7" i="3"/>
  <c r="E7" i="3"/>
  <c r="F8" i="3"/>
  <c r="E8" i="3"/>
  <c r="F9" i="3"/>
  <c r="E9" i="3"/>
  <c r="F10" i="3"/>
  <c r="E10" i="3"/>
  <c r="F11" i="3"/>
  <c r="E11" i="3"/>
  <c r="F12" i="3"/>
  <c r="E12" i="3"/>
  <c r="F13" i="3"/>
  <c r="E13" i="3"/>
  <c r="F14" i="3"/>
  <c r="E14" i="3"/>
  <c r="F15" i="3"/>
  <c r="E15" i="3"/>
  <c r="F16" i="3"/>
  <c r="E16" i="3"/>
  <c r="F17" i="3"/>
  <c r="E17" i="3"/>
  <c r="F18" i="3"/>
  <c r="E18" i="3"/>
  <c r="F19" i="3"/>
  <c r="E19" i="3"/>
  <c r="F20" i="3"/>
  <c r="E20" i="3"/>
  <c r="F21" i="3"/>
  <c r="E21" i="3"/>
  <c r="F22" i="3"/>
  <c r="E22" i="3"/>
  <c r="F23" i="3"/>
  <c r="E23" i="3"/>
  <c r="F24" i="3"/>
  <c r="E24" i="3"/>
  <c r="F25" i="3"/>
  <c r="E25" i="3"/>
  <c r="F26" i="3"/>
  <c r="E26" i="3"/>
  <c r="F27" i="3"/>
  <c r="E27" i="3"/>
  <c r="F28" i="3"/>
  <c r="E28" i="3"/>
  <c r="F29" i="3"/>
  <c r="E29" i="3"/>
  <c r="H29" i="3" l="1"/>
  <c r="H31" i="2"/>
  <c r="H29" i="1"/>
</calcChain>
</file>

<file path=xl/sharedStrings.xml><?xml version="1.0" encoding="utf-8"?>
<sst xmlns="http://schemas.openxmlformats.org/spreadsheetml/2006/main" count="143" uniqueCount="26">
  <si>
    <t>Syringe 500 cc ~1s</t>
  </si>
  <si>
    <t>No</t>
  </si>
  <si>
    <t>Total Volume</t>
  </si>
  <si>
    <t>Perbedaan</t>
  </si>
  <si>
    <t>Selisih</t>
  </si>
  <si>
    <t>Deviasi</t>
  </si>
  <si>
    <t>Rata-Rata Deviasi:</t>
  </si>
  <si>
    <t>Syringe 200 cc ~0.75s</t>
  </si>
  <si>
    <t>Syringe 100 cc ~0.5s</t>
  </si>
  <si>
    <t>kalibrasi airflow1</t>
  </si>
  <si>
    <t>Kalibrasi Airflow2</t>
  </si>
  <si>
    <t>Average</t>
  </si>
  <si>
    <t>Corrected Value</t>
  </si>
  <si>
    <t>Raw Data</t>
  </si>
  <si>
    <t>Nama :</t>
  </si>
  <si>
    <t>GD</t>
  </si>
  <si>
    <t>Usia :</t>
  </si>
  <si>
    <t>Jenis Kelamin :</t>
  </si>
  <si>
    <t>Laki-Laki</t>
  </si>
  <si>
    <t>Menit</t>
  </si>
  <si>
    <t>Airflow (L/menit)</t>
  </si>
  <si>
    <t>Volume O2 (L/menit)</t>
  </si>
  <si>
    <t>Volume CO2 (L/menit)</t>
  </si>
  <si>
    <t>Kalori (kkal/menit)</t>
  </si>
  <si>
    <t>∑</t>
  </si>
  <si>
    <t>x̄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</si>
</sst>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10" fontId="2" fillId="0" borderId="4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10" fontId="2" fillId="0" borderId="4" xfId="0" applyNumberFormat="1" applyFont="1" applyBorder="1" applyAlignment="1">
      <alignment horizontal="right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0" xfId="0" applyFont="1"/>
    <xf numFmtId="0" fontId="0" fillId="0" borderId="0" xfId="0"/>
    <xf numFmtId="0" fontId="1" fillId="0" borderId="0" xfId="1"/>
    <xf numFmtId="3" fontId="1" fillId="4" borderId="5" xfId="1" applyNumberFormat="1" applyFill="1" applyBorder="1" applyAlignment="1">
      <alignment horizontal="center"/>
    </xf>
    <xf numFmtId="4" fontId="1" fillId="4" borderId="5" xfId="1" applyNumberFormat="1" applyFill="1" applyBorder="1" applyAlignment="1">
      <alignment horizontal="center"/>
    </xf>
    <xf numFmtId="0" fontId="1" fillId="5" borderId="5" xfId="1" applyFill="1" applyBorder="1"/>
    <xf numFmtId="3" fontId="1" fillId="0" borderId="5" xfId="1" applyNumberFormat="1" applyBorder="1" applyAlignment="1">
      <alignment horizontal="center"/>
    </xf>
    <xf numFmtId="4" fontId="1" fillId="0" borderId="5" xfId="1" applyNumberFormat="1" applyBorder="1" applyAlignment="1">
      <alignment horizontal="center"/>
    </xf>
    <xf numFmtId="2" fontId="1" fillId="0" borderId="0" xfId="1" applyNumberFormat="1" applyAlignment="1">
      <alignment horizontal="center" vertical="center"/>
    </xf>
    <xf numFmtId="2" fontId="1" fillId="0" borderId="5" xfId="1" applyNumberFormat="1" applyBorder="1" applyAlignment="1">
      <alignment horizontal="center"/>
    </xf>
    <xf numFmtId="3" fontId="1" fillId="0" borderId="0" xfId="1" applyNumberFormat="1"/>
    <xf numFmtId="0" fontId="4" fillId="2" borderId="4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</cellXfs>
  <cellStyles count="2">
    <cellStyle name="Normal" xfId="0" builtinId="0"/>
    <cellStyle name="Normal 2" xfId="1" xr:uid="{434C38F1-6819-42AA-8EAC-2D5359FA70E5}"/>
  </cellStyles>
  <dxfs count="43"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2">
    <tableStyle name="500 cc 1s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200 cc 0.75s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100 cc 0.5s-style" pivot="0" count="3" xr9:uid="{00000000-0011-0000-FFFF-FFFF02000000}">
      <tableStyleElement type="headerRow" dxfId="36"/>
      <tableStyleElement type="firstRowStripe" dxfId="35"/>
      <tableStyleElement type="secondRowStripe" dxfId="34"/>
    </tableStyle>
    <tableStyle name="Istirahat #1-style" pivot="0" count="2" xr9:uid="{E4FE525D-0F8B-4165-BCC8-EB1D15925EF8}">
      <tableStyleElement type="firstRowStripe" dxfId="15"/>
      <tableStyleElement type="secondRowStripe" dxfId="14"/>
    </tableStyle>
    <tableStyle name="Istirahat #2-style" pivot="0" count="2" xr9:uid="{D5BA85F9-3842-420A-9E33-12297EF13E76}">
      <tableStyleElement type="firstRowStripe" dxfId="17"/>
      <tableStyleElement type="secondRowStripe" dxfId="16"/>
    </tableStyle>
    <tableStyle name="Istirahat #3-style" pivot="0" count="2" xr9:uid="{BA15879B-E478-450E-ABC7-5EFEC0E85501}">
      <tableStyleElement type="firstRowStripe" dxfId="13"/>
      <tableStyleElement type="secondRowStripe" dxfId="12"/>
    </tableStyle>
    <tableStyle name="Jalan 2 kmh #1-style" pivot="0" count="2" xr9:uid="{0E740369-CAC7-4134-9C14-2C2C34727F7E}">
      <tableStyleElement type="firstRowStripe" dxfId="11"/>
      <tableStyleElement type="secondRowStripe" dxfId="10"/>
    </tableStyle>
    <tableStyle name="Jalan 2 kmh #2-style" pivot="0" count="2" xr9:uid="{7D8DFBA9-B202-4B22-8904-4A5F748396BD}">
      <tableStyleElement type="firstRowStripe" dxfId="9"/>
      <tableStyleElement type="secondRowStripe" dxfId="8"/>
    </tableStyle>
    <tableStyle name="Jalan 2 kmh #3-style" pivot="0" count="2" xr9:uid="{AFC06AE6-2E20-4AB2-88BA-0E80E79A869E}">
      <tableStyleElement type="firstRowStripe" dxfId="7"/>
      <tableStyleElement type="secondRowStripe" dxfId="6"/>
    </tableStyle>
    <tableStyle name="Jogging 4 kmh #1-style" pivot="0" count="2" xr9:uid="{545435F2-78DE-4668-87A8-B2397158C09F}">
      <tableStyleElement type="firstRowStripe" dxfId="5"/>
      <tableStyleElement type="secondRowStripe" dxfId="4"/>
    </tableStyle>
    <tableStyle name="Jogging 4 kmh #2-style" pivot="0" count="2" xr9:uid="{E3740EC4-D4B9-4E8A-9294-7730047C4AB3}">
      <tableStyleElement type="firstRowStripe" dxfId="3"/>
      <tableStyleElement type="secondRowStripe" dxfId="2"/>
    </tableStyle>
    <tableStyle name="Jogging 4kmh #3-style" pivot="0" count="2" xr9:uid="{D3956517-DB8A-41A8-8EAB-A0638FDE2CF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F29">
  <tableColumns count="5">
    <tableColumn id="1" xr3:uid="{00000000-0010-0000-0000-000001000000}" name="No"/>
    <tableColumn id="2" xr3:uid="{00000000-0010-0000-0000-000002000000}" name="Total Volume"/>
    <tableColumn id="3" xr3:uid="{00000000-0010-0000-0000-000003000000}" name="Perbedaan"/>
    <tableColumn id="4" xr3:uid="{00000000-0010-0000-0000-000004000000}" name="Selisih"/>
    <tableColumn id="5" xr3:uid="{00000000-0010-0000-0000-000005000000}" name="Deviasi"/>
  </tableColumns>
  <tableStyleInfo name="500 cc 1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F31">
  <tableColumns count="5">
    <tableColumn id="1" xr3:uid="{00000000-0010-0000-0100-000001000000}" name="No"/>
    <tableColumn id="2" xr3:uid="{00000000-0010-0000-0100-000002000000}" name="Total Volume"/>
    <tableColumn id="3" xr3:uid="{00000000-0010-0000-0100-000003000000}" name="Perbedaan"/>
    <tableColumn id="4" xr3:uid="{00000000-0010-0000-0100-000004000000}" name="Selisih"/>
    <tableColumn id="5" xr3:uid="{00000000-0010-0000-0100-000005000000}" name="Deviasi"/>
  </tableColumns>
  <tableStyleInfo name="200 cc 0.75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68BB9F-4FC6-4315-A191-6AEAC835D40B}" name="Table_16" displayName="Table_16" ref="C7:F12" headerRowCount="0">
  <tableColumns count="4">
    <tableColumn id="1" xr3:uid="{E432B69B-B99E-403D-B5E3-939E93140E3B}" name="Column1"/>
    <tableColumn id="2" xr3:uid="{2FADE3FC-7949-4AB0-8276-2B9C7FC72691}" name="Column2"/>
    <tableColumn id="3" xr3:uid="{79A58DD2-C6E8-42F5-80E1-3029B830056A}" name="Column3"/>
    <tableColumn id="4" xr3:uid="{AE2062B1-7194-4CEA-901C-EA157D8D30B2}" name="Column4"/>
  </tableColumns>
  <tableStyleInfo name="Istirahat #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B76819-C2CD-410E-A2D6-A559A0E68F7A}" name="Table_25" displayName="Table_25" ref="C7:F12" headerRowCount="0">
  <tableColumns count="4">
    <tableColumn id="1" xr3:uid="{28C16CF2-4AA7-47B5-8C2F-3924D07FD9B2}" name="Column1"/>
    <tableColumn id="2" xr3:uid="{DA133DC5-34B9-43AB-98BE-D8617C169FC5}" name="Column2"/>
    <tableColumn id="3" xr3:uid="{73554FB4-22BD-4151-970F-F787E4A3D42D}" name="Column3"/>
    <tableColumn id="4" xr3:uid="{BD6BEAFB-B906-4C6A-90C3-D5800DA8CBAA}" name="Column4"/>
  </tableColumns>
  <tableStyleInfo name="Istirahat #2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C55BD6-5A51-4A16-9EFB-991BE57887B2}" name="Table_37" displayName="Table_37" ref="C7:F12" headerRowCount="0">
  <tableColumns count="4">
    <tableColumn id="1" xr3:uid="{58801865-3338-464C-ADF0-25421F15ECFD}" name="Column1"/>
    <tableColumn id="2" xr3:uid="{7E10E06E-63E4-480F-81FF-25AF5F92DBE1}" name="Column2"/>
    <tableColumn id="3" xr3:uid="{A78E7EFB-88E7-445D-B1DD-3A032388C8ED}" name="Column3"/>
    <tableColumn id="4" xr3:uid="{1ACA905E-A32F-4223-85EB-6F9A61EB82B2}" name="Column4"/>
  </tableColumns>
  <tableStyleInfo name="Istirahat #3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1870A0-DAC6-4D21-8552-CC998E500ADC}" name="Table_4" displayName="Table_4" ref="C7:F12" headerRowCount="0">
  <tableColumns count="4">
    <tableColumn id="1" xr3:uid="{48C1BB97-DBE8-48C5-AC12-5A3A400DB680}" name="Column1"/>
    <tableColumn id="2" xr3:uid="{24F34E1E-E755-4475-B687-4B97435E797E}" name="Column2"/>
    <tableColumn id="3" xr3:uid="{305D1AB4-F596-4CC3-B51A-4B2BEC7FAA24}" name="Column3"/>
    <tableColumn id="4" xr3:uid="{6EDAE77C-FDB0-4ED1-82E3-ABA0492DE058}" name="Column4"/>
  </tableColumns>
  <tableStyleInfo name="Jalan 2 kmh #1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BFEBFE-25ED-420D-9396-943B5630FB99}" name="Table_5" displayName="Table_5" ref="C7:F12" headerRowCount="0">
  <tableColumns count="4">
    <tableColumn id="1" xr3:uid="{226E4EFD-65B1-4C2F-81AE-9B60D254808C}" name="Column1"/>
    <tableColumn id="2" xr3:uid="{A65B6941-FE63-48B6-9D83-06ABAFCF1462}" name="Column2"/>
    <tableColumn id="3" xr3:uid="{E86FE325-1C60-4A58-8848-860AE36260E0}" name="Column3"/>
    <tableColumn id="4" xr3:uid="{41585ABC-1BFF-4B74-BDED-CF1A359CD32F}" name="Column4"/>
  </tableColumns>
  <tableStyleInfo name="Jalan 2 kmh #2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0392D0-E9F6-4370-9548-865EB93BDE89}" name="Table_6" displayName="Table_6" ref="C7:F12" headerRowCount="0">
  <tableColumns count="4">
    <tableColumn id="1" xr3:uid="{D4F9DCB6-1F97-4048-80FA-D6E55D2E1EEA}" name="Column1"/>
    <tableColumn id="2" xr3:uid="{DAB8BE38-08C1-4455-A952-DA8CC50393D0}" name="Column2"/>
    <tableColumn id="3" xr3:uid="{B996DF6C-970E-4100-BB26-5447C2834563}" name="Column3"/>
    <tableColumn id="4" xr3:uid="{E2DA4E99-4CDA-4480-B6C9-190317C15C03}" name="Column4"/>
  </tableColumns>
  <tableStyleInfo name="Jalan 2 kmh #3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82A480-8B87-4086-BC6A-776637843C92}" name="Table_7" displayName="Table_7" ref="C7:F12" headerRowCount="0">
  <tableColumns count="4">
    <tableColumn id="1" xr3:uid="{5103B4AC-0EA2-44F1-954F-ADDB0E24DBC4}" name="Column1"/>
    <tableColumn id="2" xr3:uid="{44579CA4-6AF3-429B-AD50-F59DE0E9CD60}" name="Column2"/>
    <tableColumn id="3" xr3:uid="{17F8B153-F681-411F-B644-0616BBADD5D9}" name="Column3"/>
    <tableColumn id="4" xr3:uid="{8200E110-06A7-4364-B223-F0DD546007A7}" name="Column4"/>
  </tableColumns>
  <tableStyleInfo name="Jogging 4 kmh #1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6A2DB9-8A23-4A88-9707-DD46C22266C8}" name="Table_8" displayName="Table_8" ref="C7:F12" headerRowCount="0">
  <tableColumns count="4">
    <tableColumn id="1" xr3:uid="{F8C96F78-E3A9-446B-A801-DA0E254AC5BF}" name="Column1"/>
    <tableColumn id="2" xr3:uid="{283FD48A-6E03-45FA-9198-546FF21A5CA4}" name="Column2"/>
    <tableColumn id="3" xr3:uid="{D9D0D411-D967-4272-83A6-272A17C598A3}" name="Column3"/>
    <tableColumn id="4" xr3:uid="{43E82773-A058-424B-A7B1-BA1238B77758}" name="Column4"/>
  </tableColumns>
  <tableStyleInfo name="Jogging 4 kmh #2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D60B0DB-705D-4F10-8AA5-E19A2A1E1FD0}" name="Table_9" displayName="Table_9" ref="C7:F12" headerRowCount="0">
  <tableColumns count="4">
    <tableColumn id="1" xr3:uid="{AF371650-688B-484B-B750-E1794519D9B1}" name="Column1"/>
    <tableColumn id="2" xr3:uid="{00839E63-8586-45A0-99B0-AC7D4C943C25}" name="Column2"/>
    <tableColumn id="3" xr3:uid="{9DC8B520-704D-43E8-B4EB-8ED8654F1CD2}" name="Column3"/>
    <tableColumn id="4" xr3:uid="{2ECD5EBC-5EAE-40EA-94F0-515047538A50}" name="Column4"/>
  </tableColumns>
  <tableStyleInfo name="Jogging 4kmh #3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:F29">
  <tableColumns count="5">
    <tableColumn id="1" xr3:uid="{00000000-0010-0000-0200-000001000000}" name="No"/>
    <tableColumn id="2" xr3:uid="{00000000-0010-0000-0200-000002000000}" name="Total Volume"/>
    <tableColumn id="3" xr3:uid="{00000000-0010-0000-0200-000003000000}" name="Perbedaan"/>
    <tableColumn id="4" xr3:uid="{00000000-0010-0000-0200-000004000000}" name="Selisih"/>
    <tableColumn id="5" xr3:uid="{00000000-0010-0000-0200-000005000000}" name="Deviasi"/>
  </tableColumns>
  <tableStyleInfo name="100 cc 0.5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H29"/>
  <sheetViews>
    <sheetView workbookViewId="0">
      <selection activeCell="H32" sqref="H32"/>
    </sheetView>
  </sheetViews>
  <sheetFormatPr defaultColWidth="12.5546875" defaultRowHeight="15.75" customHeight="1" x14ac:dyDescent="0.25"/>
  <cols>
    <col min="1" max="1" width="4.88671875" customWidth="1"/>
    <col min="2" max="2" width="6.33203125" customWidth="1"/>
    <col min="3" max="3" width="15.33203125" customWidth="1"/>
    <col min="4" max="4" width="16.109375" customWidth="1"/>
    <col min="7" max="7" width="6.21875" customWidth="1"/>
    <col min="8" max="8" width="17.44140625" customWidth="1"/>
  </cols>
  <sheetData>
    <row r="1" spans="2:6" ht="15.75" customHeight="1" x14ac:dyDescent="0.25">
      <c r="C1" t="s">
        <v>9</v>
      </c>
    </row>
    <row r="2" spans="2:6" x14ac:dyDescent="0.25">
      <c r="B2" s="7" t="s">
        <v>0</v>
      </c>
      <c r="C2" s="8"/>
      <c r="D2" s="8"/>
      <c r="E2" s="8"/>
      <c r="F2" s="9"/>
    </row>
    <row r="3" spans="2:6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2:6" x14ac:dyDescent="0.25">
      <c r="B4" s="1"/>
      <c r="C4" s="1">
        <v>0</v>
      </c>
      <c r="D4" s="1"/>
      <c r="E4" s="1"/>
      <c r="F4" s="2"/>
    </row>
    <row r="5" spans="2:6" x14ac:dyDescent="0.25">
      <c r="B5" s="1">
        <v>1</v>
      </c>
      <c r="C5" s="1">
        <v>508</v>
      </c>
      <c r="D5" s="1">
        <f t="shared" ref="D5:D29" si="0">C5-C4</f>
        <v>508</v>
      </c>
      <c r="E5" s="1">
        <f t="shared" ref="E5:E29" si="1">D5-500</f>
        <v>8</v>
      </c>
      <c r="F5" s="3">
        <f t="shared" ref="F5:F29" si="2">ABS(D5-500)/500</f>
        <v>1.6E-2</v>
      </c>
    </row>
    <row r="6" spans="2:6" x14ac:dyDescent="0.25">
      <c r="B6" s="1">
        <v>2</v>
      </c>
      <c r="C6" s="1">
        <v>1024</v>
      </c>
      <c r="D6" s="1">
        <f t="shared" si="0"/>
        <v>516</v>
      </c>
      <c r="E6" s="1">
        <f t="shared" si="1"/>
        <v>16</v>
      </c>
      <c r="F6" s="3">
        <f t="shared" si="2"/>
        <v>3.2000000000000001E-2</v>
      </c>
    </row>
    <row r="7" spans="2:6" x14ac:dyDescent="0.25">
      <c r="B7" s="1">
        <v>3</v>
      </c>
      <c r="C7" s="1">
        <v>1563</v>
      </c>
      <c r="D7" s="1">
        <f t="shared" si="0"/>
        <v>539</v>
      </c>
      <c r="E7" s="1">
        <f t="shared" si="1"/>
        <v>39</v>
      </c>
      <c r="F7" s="3">
        <f t="shared" si="2"/>
        <v>7.8E-2</v>
      </c>
    </row>
    <row r="8" spans="2:6" x14ac:dyDescent="0.25">
      <c r="B8" s="1">
        <v>4</v>
      </c>
      <c r="C8" s="1">
        <v>2118</v>
      </c>
      <c r="D8" s="1">
        <f t="shared" si="0"/>
        <v>555</v>
      </c>
      <c r="E8" s="1">
        <f t="shared" si="1"/>
        <v>55</v>
      </c>
      <c r="F8" s="3">
        <f t="shared" si="2"/>
        <v>0.11</v>
      </c>
    </row>
    <row r="9" spans="2:6" x14ac:dyDescent="0.25">
      <c r="B9" s="1">
        <v>5</v>
      </c>
      <c r="C9" s="1">
        <v>2660</v>
      </c>
      <c r="D9" s="1">
        <f t="shared" si="0"/>
        <v>542</v>
      </c>
      <c r="E9" s="1">
        <f t="shared" si="1"/>
        <v>42</v>
      </c>
      <c r="F9" s="3">
        <f t="shared" si="2"/>
        <v>8.4000000000000005E-2</v>
      </c>
    </row>
    <row r="10" spans="2:6" x14ac:dyDescent="0.25">
      <c r="B10" s="1">
        <v>6</v>
      </c>
      <c r="C10" s="1">
        <v>3192</v>
      </c>
      <c r="D10" s="1">
        <f t="shared" si="0"/>
        <v>532</v>
      </c>
      <c r="E10" s="1">
        <f t="shared" si="1"/>
        <v>32</v>
      </c>
      <c r="F10" s="3">
        <f t="shared" si="2"/>
        <v>6.4000000000000001E-2</v>
      </c>
    </row>
    <row r="11" spans="2:6" x14ac:dyDescent="0.25">
      <c r="B11" s="1">
        <v>7</v>
      </c>
      <c r="C11" s="1">
        <v>3774</v>
      </c>
      <c r="D11" s="1">
        <f t="shared" si="0"/>
        <v>582</v>
      </c>
      <c r="E11" s="1">
        <f t="shared" si="1"/>
        <v>82</v>
      </c>
      <c r="F11" s="3">
        <f t="shared" si="2"/>
        <v>0.16400000000000001</v>
      </c>
    </row>
    <row r="12" spans="2:6" x14ac:dyDescent="0.25">
      <c r="B12" s="1">
        <v>8</v>
      </c>
      <c r="C12" s="1">
        <v>4293</v>
      </c>
      <c r="D12" s="1">
        <f t="shared" si="0"/>
        <v>519</v>
      </c>
      <c r="E12" s="1">
        <f t="shared" si="1"/>
        <v>19</v>
      </c>
      <c r="F12" s="3">
        <f t="shared" si="2"/>
        <v>3.7999999999999999E-2</v>
      </c>
    </row>
    <row r="13" spans="2:6" x14ac:dyDescent="0.25">
      <c r="B13" s="1">
        <v>9</v>
      </c>
      <c r="C13" s="1">
        <v>4811</v>
      </c>
      <c r="D13" s="1">
        <f t="shared" si="0"/>
        <v>518</v>
      </c>
      <c r="E13" s="1">
        <f t="shared" si="1"/>
        <v>18</v>
      </c>
      <c r="F13" s="3">
        <f t="shared" si="2"/>
        <v>3.5999999999999997E-2</v>
      </c>
    </row>
    <row r="14" spans="2:6" x14ac:dyDescent="0.25">
      <c r="B14" s="1">
        <v>10</v>
      </c>
      <c r="C14" s="1">
        <v>5290</v>
      </c>
      <c r="D14" s="1">
        <f t="shared" si="0"/>
        <v>479</v>
      </c>
      <c r="E14" s="1">
        <f t="shared" si="1"/>
        <v>-21</v>
      </c>
      <c r="F14" s="3">
        <f t="shared" si="2"/>
        <v>4.2000000000000003E-2</v>
      </c>
    </row>
    <row r="15" spans="2:6" x14ac:dyDescent="0.25">
      <c r="B15" s="1">
        <v>11</v>
      </c>
      <c r="C15" s="1">
        <v>5836</v>
      </c>
      <c r="D15" s="1">
        <f t="shared" si="0"/>
        <v>546</v>
      </c>
      <c r="E15" s="1">
        <f t="shared" si="1"/>
        <v>46</v>
      </c>
      <c r="F15" s="3">
        <f t="shared" si="2"/>
        <v>9.1999999999999998E-2</v>
      </c>
    </row>
    <row r="16" spans="2:6" x14ac:dyDescent="0.25">
      <c r="B16" s="1">
        <v>12</v>
      </c>
      <c r="C16" s="1">
        <v>6344</v>
      </c>
      <c r="D16" s="1">
        <f t="shared" si="0"/>
        <v>508</v>
      </c>
      <c r="E16" s="1">
        <f t="shared" si="1"/>
        <v>8</v>
      </c>
      <c r="F16" s="3">
        <f t="shared" si="2"/>
        <v>1.6E-2</v>
      </c>
    </row>
    <row r="17" spans="2:8" x14ac:dyDescent="0.25">
      <c r="B17" s="1">
        <v>13</v>
      </c>
      <c r="C17" s="1">
        <v>6905</v>
      </c>
      <c r="D17" s="1">
        <f t="shared" si="0"/>
        <v>561</v>
      </c>
      <c r="E17" s="1">
        <f t="shared" si="1"/>
        <v>61</v>
      </c>
      <c r="F17" s="3">
        <f t="shared" si="2"/>
        <v>0.122</v>
      </c>
    </row>
    <row r="18" spans="2:8" x14ac:dyDescent="0.25">
      <c r="B18" s="1">
        <v>14</v>
      </c>
      <c r="C18" s="1">
        <v>7415</v>
      </c>
      <c r="D18" s="1">
        <f t="shared" si="0"/>
        <v>510</v>
      </c>
      <c r="E18" s="1">
        <f t="shared" si="1"/>
        <v>10</v>
      </c>
      <c r="F18" s="3">
        <f t="shared" si="2"/>
        <v>0.02</v>
      </c>
    </row>
    <row r="19" spans="2:8" x14ac:dyDescent="0.25">
      <c r="B19" s="1">
        <v>15</v>
      </c>
      <c r="C19" s="1">
        <v>7942</v>
      </c>
      <c r="D19" s="1">
        <f t="shared" si="0"/>
        <v>527</v>
      </c>
      <c r="E19" s="1">
        <f t="shared" si="1"/>
        <v>27</v>
      </c>
      <c r="F19" s="3">
        <f t="shared" si="2"/>
        <v>5.3999999999999999E-2</v>
      </c>
    </row>
    <row r="20" spans="2:8" x14ac:dyDescent="0.25">
      <c r="B20" s="1">
        <v>16</v>
      </c>
      <c r="C20" s="1">
        <v>8486</v>
      </c>
      <c r="D20" s="1">
        <f t="shared" si="0"/>
        <v>544</v>
      </c>
      <c r="E20" s="1">
        <f t="shared" si="1"/>
        <v>44</v>
      </c>
      <c r="F20" s="3">
        <f t="shared" si="2"/>
        <v>8.7999999999999995E-2</v>
      </c>
    </row>
    <row r="21" spans="2:8" x14ac:dyDescent="0.25">
      <c r="B21" s="1">
        <v>17</v>
      </c>
      <c r="C21" s="1">
        <v>9032</v>
      </c>
      <c r="D21" s="1">
        <f t="shared" si="0"/>
        <v>546</v>
      </c>
      <c r="E21" s="1">
        <f t="shared" si="1"/>
        <v>46</v>
      </c>
      <c r="F21" s="3">
        <f t="shared" si="2"/>
        <v>9.1999999999999998E-2</v>
      </c>
    </row>
    <row r="22" spans="2:8" x14ac:dyDescent="0.25">
      <c r="B22" s="1">
        <v>18</v>
      </c>
      <c r="C22" s="1">
        <v>9522</v>
      </c>
      <c r="D22" s="1">
        <f t="shared" si="0"/>
        <v>490</v>
      </c>
      <c r="E22" s="1">
        <f t="shared" si="1"/>
        <v>-10</v>
      </c>
      <c r="F22" s="3">
        <f t="shared" si="2"/>
        <v>0.02</v>
      </c>
    </row>
    <row r="23" spans="2:8" x14ac:dyDescent="0.25">
      <c r="B23" s="1">
        <v>19</v>
      </c>
      <c r="C23" s="1">
        <v>10054</v>
      </c>
      <c r="D23" s="1">
        <f t="shared" si="0"/>
        <v>532</v>
      </c>
      <c r="E23" s="1">
        <f t="shared" si="1"/>
        <v>32</v>
      </c>
      <c r="F23" s="3">
        <f t="shared" si="2"/>
        <v>6.4000000000000001E-2</v>
      </c>
    </row>
    <row r="24" spans="2:8" x14ac:dyDescent="0.25">
      <c r="B24" s="1">
        <v>20</v>
      </c>
      <c r="C24" s="1">
        <v>10595</v>
      </c>
      <c r="D24" s="1">
        <f t="shared" si="0"/>
        <v>541</v>
      </c>
      <c r="E24" s="1">
        <f t="shared" si="1"/>
        <v>41</v>
      </c>
      <c r="F24" s="3">
        <f t="shared" si="2"/>
        <v>8.2000000000000003E-2</v>
      </c>
    </row>
    <row r="25" spans="2:8" x14ac:dyDescent="0.25">
      <c r="B25" s="1">
        <v>21</v>
      </c>
      <c r="C25" s="1">
        <v>11134</v>
      </c>
      <c r="D25" s="1">
        <f t="shared" si="0"/>
        <v>539</v>
      </c>
      <c r="E25" s="1">
        <f t="shared" si="1"/>
        <v>39</v>
      </c>
      <c r="F25" s="3">
        <f t="shared" si="2"/>
        <v>7.8E-2</v>
      </c>
    </row>
    <row r="26" spans="2:8" x14ac:dyDescent="0.25">
      <c r="B26" s="1">
        <v>22</v>
      </c>
      <c r="C26" s="1">
        <v>11661</v>
      </c>
      <c r="D26" s="1">
        <f t="shared" si="0"/>
        <v>527</v>
      </c>
      <c r="E26" s="1">
        <f t="shared" si="1"/>
        <v>27</v>
      </c>
      <c r="F26" s="3">
        <f t="shared" si="2"/>
        <v>5.3999999999999999E-2</v>
      </c>
    </row>
    <row r="27" spans="2:8" x14ac:dyDescent="0.25">
      <c r="B27" s="1">
        <v>23</v>
      </c>
      <c r="C27" s="1">
        <v>12168</v>
      </c>
      <c r="D27" s="1">
        <f t="shared" si="0"/>
        <v>507</v>
      </c>
      <c r="E27" s="1">
        <f t="shared" si="1"/>
        <v>7</v>
      </c>
      <c r="F27" s="3">
        <f t="shared" si="2"/>
        <v>1.4E-2</v>
      </c>
    </row>
    <row r="28" spans="2:8" x14ac:dyDescent="0.25">
      <c r="B28" s="1">
        <v>24</v>
      </c>
      <c r="C28" s="1">
        <v>12694</v>
      </c>
      <c r="D28" s="1">
        <f t="shared" si="0"/>
        <v>526</v>
      </c>
      <c r="E28" s="1">
        <f t="shared" si="1"/>
        <v>26</v>
      </c>
      <c r="F28" s="3">
        <f t="shared" si="2"/>
        <v>5.1999999999999998E-2</v>
      </c>
      <c r="H28" s="4" t="s">
        <v>6</v>
      </c>
    </row>
    <row r="29" spans="2:8" x14ac:dyDescent="0.25">
      <c r="B29" s="1">
        <v>25</v>
      </c>
      <c r="C29" s="1">
        <v>13163</v>
      </c>
      <c r="D29" s="1">
        <f t="shared" si="0"/>
        <v>469</v>
      </c>
      <c r="E29" s="1">
        <f t="shared" si="1"/>
        <v>-31</v>
      </c>
      <c r="F29" s="3">
        <f t="shared" si="2"/>
        <v>6.2E-2</v>
      </c>
      <c r="H29" s="5">
        <f>AVERAGE(F5:F29)</f>
        <v>6.296000000000003E-2</v>
      </c>
    </row>
  </sheetData>
  <mergeCells count="1">
    <mergeCell ref="B2:F2"/>
  </mergeCells>
  <conditionalFormatting sqref="E5:E29">
    <cfRule type="cellIs" dxfId="33" priority="1" operator="equal">
      <formula>0</formula>
    </cfRule>
  </conditionalFormatting>
  <conditionalFormatting sqref="F5:F29">
    <cfRule type="cellIs" dxfId="32" priority="2" operator="between">
      <formula>0</formula>
      <formula>0.0099</formula>
    </cfRule>
    <cfRule type="cellIs" dxfId="31" priority="3" operator="greaterThan">
      <formula>0.15</formula>
    </cfRule>
    <cfRule type="cellIs" dxfId="30" priority="4" operator="between">
      <formula>0.01</formula>
      <formula>0.1499</formula>
    </cfRule>
  </conditionalFormatting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H31"/>
  <sheetViews>
    <sheetView workbookViewId="0">
      <selection activeCell="K24" sqref="K24"/>
    </sheetView>
  </sheetViews>
  <sheetFormatPr defaultColWidth="12.5546875" defaultRowHeight="15.75" customHeight="1" x14ac:dyDescent="0.25"/>
  <cols>
    <col min="1" max="1" width="4.88671875" customWidth="1"/>
    <col min="2" max="2" width="6.33203125" customWidth="1"/>
    <col min="3" max="3" width="15.33203125" customWidth="1"/>
    <col min="4" max="4" width="16.109375" customWidth="1"/>
    <col min="7" max="7" width="6.21875" customWidth="1"/>
    <col min="8" max="8" width="17.44140625" customWidth="1"/>
  </cols>
  <sheetData>
    <row r="2" spans="2:6" x14ac:dyDescent="0.25">
      <c r="B2" s="10" t="s">
        <v>10</v>
      </c>
      <c r="C2" s="11"/>
    </row>
    <row r="4" spans="2:6" x14ac:dyDescent="0.25">
      <c r="B4" s="7" t="s">
        <v>7</v>
      </c>
      <c r="C4" s="8"/>
      <c r="D4" s="8"/>
      <c r="E4" s="8"/>
      <c r="F4" s="9"/>
    </row>
    <row r="5" spans="2:6" x14ac:dyDescent="0.2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2:6" x14ac:dyDescent="0.25">
      <c r="B6" s="1"/>
      <c r="C6" s="1">
        <v>0</v>
      </c>
      <c r="D6" s="1"/>
      <c r="E6" s="1"/>
      <c r="F6" s="2"/>
    </row>
    <row r="7" spans="2:6" x14ac:dyDescent="0.25">
      <c r="B7" s="1">
        <v>1</v>
      </c>
      <c r="C7" s="1">
        <v>212</v>
      </c>
      <c r="D7" s="1">
        <f t="shared" ref="D7:D31" si="0">C7-C6</f>
        <v>212</v>
      </c>
      <c r="E7" s="1">
        <f t="shared" ref="E7:E31" si="1">D7-200</f>
        <v>12</v>
      </c>
      <c r="F7" s="3">
        <f t="shared" ref="F7:F31" si="2">ABS(D7-200)/200</f>
        <v>0.06</v>
      </c>
    </row>
    <row r="8" spans="2:6" x14ac:dyDescent="0.25">
      <c r="B8" s="1">
        <v>2</v>
      </c>
      <c r="C8" s="1">
        <v>395</v>
      </c>
      <c r="D8" s="1">
        <f t="shared" si="0"/>
        <v>183</v>
      </c>
      <c r="E8" s="1">
        <f t="shared" si="1"/>
        <v>-17</v>
      </c>
      <c r="F8" s="3">
        <f t="shared" si="2"/>
        <v>8.5000000000000006E-2</v>
      </c>
    </row>
    <row r="9" spans="2:6" x14ac:dyDescent="0.25">
      <c r="B9" s="1">
        <v>3</v>
      </c>
      <c r="C9" s="1">
        <v>615</v>
      </c>
      <c r="D9" s="1">
        <f t="shared" si="0"/>
        <v>220</v>
      </c>
      <c r="E9" s="1">
        <f t="shared" si="1"/>
        <v>20</v>
      </c>
      <c r="F9" s="3">
        <f t="shared" si="2"/>
        <v>0.1</v>
      </c>
    </row>
    <row r="10" spans="2:6" x14ac:dyDescent="0.25">
      <c r="B10" s="1">
        <v>4</v>
      </c>
      <c r="C10" s="1">
        <v>801</v>
      </c>
      <c r="D10" s="1">
        <f t="shared" si="0"/>
        <v>186</v>
      </c>
      <c r="E10" s="1">
        <f t="shared" si="1"/>
        <v>-14</v>
      </c>
      <c r="F10" s="3">
        <f t="shared" si="2"/>
        <v>7.0000000000000007E-2</v>
      </c>
    </row>
    <row r="11" spans="2:6" x14ac:dyDescent="0.25">
      <c r="B11" s="1">
        <v>5</v>
      </c>
      <c r="C11" s="1">
        <v>999</v>
      </c>
      <c r="D11" s="1">
        <f t="shared" si="0"/>
        <v>198</v>
      </c>
      <c r="E11" s="1">
        <f t="shared" si="1"/>
        <v>-2</v>
      </c>
      <c r="F11" s="3">
        <f t="shared" si="2"/>
        <v>0.01</v>
      </c>
    </row>
    <row r="12" spans="2:6" x14ac:dyDescent="0.25">
      <c r="B12" s="1">
        <v>6</v>
      </c>
      <c r="C12" s="1">
        <v>1203</v>
      </c>
      <c r="D12" s="1">
        <f t="shared" si="0"/>
        <v>204</v>
      </c>
      <c r="E12" s="1">
        <f t="shared" si="1"/>
        <v>4</v>
      </c>
      <c r="F12" s="3">
        <f t="shared" si="2"/>
        <v>0.02</v>
      </c>
    </row>
    <row r="13" spans="2:6" x14ac:dyDescent="0.25">
      <c r="B13" s="1">
        <v>7</v>
      </c>
      <c r="C13" s="1">
        <v>1401</v>
      </c>
      <c r="D13" s="1">
        <f t="shared" si="0"/>
        <v>198</v>
      </c>
      <c r="E13" s="1">
        <f t="shared" si="1"/>
        <v>-2</v>
      </c>
      <c r="F13" s="3">
        <f t="shared" si="2"/>
        <v>0.01</v>
      </c>
    </row>
    <row r="14" spans="2:6" x14ac:dyDescent="0.25">
      <c r="B14" s="1">
        <v>8</v>
      </c>
      <c r="C14" s="1">
        <v>1597</v>
      </c>
      <c r="D14" s="1">
        <f t="shared" si="0"/>
        <v>196</v>
      </c>
      <c r="E14" s="1">
        <f t="shared" si="1"/>
        <v>-4</v>
      </c>
      <c r="F14" s="3">
        <f t="shared" si="2"/>
        <v>0.02</v>
      </c>
    </row>
    <row r="15" spans="2:6" x14ac:dyDescent="0.25">
      <c r="B15" s="1">
        <v>9</v>
      </c>
      <c r="C15" s="1">
        <v>1796</v>
      </c>
      <c r="D15" s="1">
        <f t="shared" si="0"/>
        <v>199</v>
      </c>
      <c r="E15" s="1">
        <f t="shared" si="1"/>
        <v>-1</v>
      </c>
      <c r="F15" s="3">
        <f t="shared" si="2"/>
        <v>5.0000000000000001E-3</v>
      </c>
    </row>
    <row r="16" spans="2:6" x14ac:dyDescent="0.25">
      <c r="B16" s="1">
        <v>10</v>
      </c>
      <c r="C16" s="1">
        <v>2019</v>
      </c>
      <c r="D16" s="1">
        <f t="shared" si="0"/>
        <v>223</v>
      </c>
      <c r="E16" s="1">
        <f t="shared" si="1"/>
        <v>23</v>
      </c>
      <c r="F16" s="3">
        <f t="shared" si="2"/>
        <v>0.115</v>
      </c>
    </row>
    <row r="17" spans="2:8" x14ac:dyDescent="0.25">
      <c r="B17" s="1">
        <v>11</v>
      </c>
      <c r="C17" s="1">
        <v>2205</v>
      </c>
      <c r="D17" s="1">
        <f t="shared" si="0"/>
        <v>186</v>
      </c>
      <c r="E17" s="1">
        <f t="shared" si="1"/>
        <v>-14</v>
      </c>
      <c r="F17" s="3">
        <f t="shared" si="2"/>
        <v>7.0000000000000007E-2</v>
      </c>
    </row>
    <row r="18" spans="2:8" x14ac:dyDescent="0.25">
      <c r="B18" s="1">
        <v>12</v>
      </c>
      <c r="C18" s="1">
        <v>2407</v>
      </c>
      <c r="D18" s="1">
        <f t="shared" si="0"/>
        <v>202</v>
      </c>
      <c r="E18" s="1">
        <f t="shared" si="1"/>
        <v>2</v>
      </c>
      <c r="F18" s="3">
        <f t="shared" si="2"/>
        <v>0.01</v>
      </c>
    </row>
    <row r="19" spans="2:8" x14ac:dyDescent="0.25">
      <c r="B19" s="1">
        <v>13</v>
      </c>
      <c r="C19" s="1">
        <v>2594</v>
      </c>
      <c r="D19" s="1">
        <f t="shared" si="0"/>
        <v>187</v>
      </c>
      <c r="E19" s="1">
        <f t="shared" si="1"/>
        <v>-13</v>
      </c>
      <c r="F19" s="3">
        <f t="shared" si="2"/>
        <v>6.5000000000000002E-2</v>
      </c>
    </row>
    <row r="20" spans="2:8" x14ac:dyDescent="0.25">
      <c r="B20" s="1">
        <v>14</v>
      </c>
      <c r="C20" s="1">
        <v>2826</v>
      </c>
      <c r="D20" s="1">
        <f t="shared" si="0"/>
        <v>232</v>
      </c>
      <c r="E20" s="1">
        <f t="shared" si="1"/>
        <v>32</v>
      </c>
      <c r="F20" s="3">
        <f t="shared" si="2"/>
        <v>0.16</v>
      </c>
    </row>
    <row r="21" spans="2:8" x14ac:dyDescent="0.25">
      <c r="B21" s="1">
        <v>15</v>
      </c>
      <c r="C21" s="1">
        <v>2998</v>
      </c>
      <c r="D21" s="1">
        <f t="shared" si="0"/>
        <v>172</v>
      </c>
      <c r="E21" s="1">
        <f t="shared" si="1"/>
        <v>-28</v>
      </c>
      <c r="F21" s="3">
        <f t="shared" si="2"/>
        <v>0.14000000000000001</v>
      </c>
    </row>
    <row r="22" spans="2:8" x14ac:dyDescent="0.25">
      <c r="B22" s="1">
        <v>16</v>
      </c>
      <c r="C22" s="1">
        <v>3224</v>
      </c>
      <c r="D22" s="1">
        <f t="shared" si="0"/>
        <v>226</v>
      </c>
      <c r="E22" s="1">
        <f t="shared" si="1"/>
        <v>26</v>
      </c>
      <c r="F22" s="3">
        <f t="shared" si="2"/>
        <v>0.13</v>
      </c>
    </row>
    <row r="23" spans="2:8" x14ac:dyDescent="0.25">
      <c r="B23" s="1">
        <v>17</v>
      </c>
      <c r="C23" s="1">
        <v>3387</v>
      </c>
      <c r="D23" s="1">
        <f t="shared" si="0"/>
        <v>163</v>
      </c>
      <c r="E23" s="1">
        <f t="shared" si="1"/>
        <v>-37</v>
      </c>
      <c r="F23" s="3">
        <f t="shared" si="2"/>
        <v>0.185</v>
      </c>
    </row>
    <row r="24" spans="2:8" x14ac:dyDescent="0.25">
      <c r="B24" s="1">
        <v>18</v>
      </c>
      <c r="C24" s="1">
        <v>3574</v>
      </c>
      <c r="D24" s="1">
        <f t="shared" si="0"/>
        <v>187</v>
      </c>
      <c r="E24" s="1">
        <f t="shared" si="1"/>
        <v>-13</v>
      </c>
      <c r="F24" s="3">
        <f t="shared" si="2"/>
        <v>6.5000000000000002E-2</v>
      </c>
    </row>
    <row r="25" spans="2:8" x14ac:dyDescent="0.25">
      <c r="B25" s="1">
        <v>19</v>
      </c>
      <c r="C25" s="1">
        <v>3762</v>
      </c>
      <c r="D25" s="1">
        <f t="shared" si="0"/>
        <v>188</v>
      </c>
      <c r="E25" s="1">
        <f t="shared" si="1"/>
        <v>-12</v>
      </c>
      <c r="F25" s="3">
        <f t="shared" si="2"/>
        <v>0.06</v>
      </c>
    </row>
    <row r="26" spans="2:8" x14ac:dyDescent="0.25">
      <c r="B26" s="1">
        <v>20</v>
      </c>
      <c r="C26" s="1">
        <v>3990</v>
      </c>
      <c r="D26" s="1">
        <f t="shared" si="0"/>
        <v>228</v>
      </c>
      <c r="E26" s="1">
        <f t="shared" si="1"/>
        <v>28</v>
      </c>
      <c r="F26" s="3">
        <f t="shared" si="2"/>
        <v>0.14000000000000001</v>
      </c>
    </row>
    <row r="27" spans="2:8" x14ac:dyDescent="0.25">
      <c r="B27" s="1">
        <v>21</v>
      </c>
      <c r="C27" s="1">
        <v>4165</v>
      </c>
      <c r="D27" s="1">
        <f t="shared" si="0"/>
        <v>175</v>
      </c>
      <c r="E27" s="1">
        <f t="shared" si="1"/>
        <v>-25</v>
      </c>
      <c r="F27" s="3">
        <f t="shared" si="2"/>
        <v>0.125</v>
      </c>
    </row>
    <row r="28" spans="2:8" x14ac:dyDescent="0.25">
      <c r="B28" s="1">
        <v>22</v>
      </c>
      <c r="C28" s="1">
        <v>4358</v>
      </c>
      <c r="D28" s="1">
        <f t="shared" si="0"/>
        <v>193</v>
      </c>
      <c r="E28" s="1">
        <f t="shared" si="1"/>
        <v>-7</v>
      </c>
      <c r="F28" s="3">
        <f t="shared" si="2"/>
        <v>3.5000000000000003E-2</v>
      </c>
    </row>
    <row r="29" spans="2:8" x14ac:dyDescent="0.25">
      <c r="B29" s="1">
        <v>23</v>
      </c>
      <c r="C29" s="1">
        <v>4541</v>
      </c>
      <c r="D29" s="1">
        <f t="shared" si="0"/>
        <v>183</v>
      </c>
      <c r="E29" s="1">
        <f t="shared" si="1"/>
        <v>-17</v>
      </c>
      <c r="F29" s="3">
        <f t="shared" si="2"/>
        <v>8.5000000000000006E-2</v>
      </c>
    </row>
    <row r="30" spans="2:8" x14ac:dyDescent="0.25">
      <c r="B30" s="1">
        <v>24</v>
      </c>
      <c r="C30" s="1">
        <v>4715</v>
      </c>
      <c r="D30" s="1">
        <f t="shared" si="0"/>
        <v>174</v>
      </c>
      <c r="E30" s="1">
        <f t="shared" si="1"/>
        <v>-26</v>
      </c>
      <c r="F30" s="3">
        <f t="shared" si="2"/>
        <v>0.13</v>
      </c>
      <c r="H30" s="4" t="s">
        <v>6</v>
      </c>
    </row>
    <row r="31" spans="2:8" x14ac:dyDescent="0.25">
      <c r="B31" s="1">
        <v>25</v>
      </c>
      <c r="C31" s="1">
        <v>4922</v>
      </c>
      <c r="D31" s="1">
        <f t="shared" si="0"/>
        <v>207</v>
      </c>
      <c r="E31" s="1">
        <f t="shared" si="1"/>
        <v>7</v>
      </c>
      <c r="F31" s="3">
        <f t="shared" si="2"/>
        <v>3.5000000000000003E-2</v>
      </c>
      <c r="H31" s="5">
        <f>AVERAGE(F7:F31)</f>
        <v>7.7200000000000019E-2</v>
      </c>
    </row>
  </sheetData>
  <mergeCells count="2">
    <mergeCell ref="B2:C2"/>
    <mergeCell ref="B4:F4"/>
  </mergeCells>
  <conditionalFormatting sqref="E7:E31">
    <cfRule type="cellIs" dxfId="29" priority="1" operator="equal">
      <formula>0</formula>
    </cfRule>
  </conditionalFormatting>
  <conditionalFormatting sqref="F7:F31">
    <cfRule type="cellIs" dxfId="28" priority="2" operator="between">
      <formula>0</formula>
      <formula>0.0099</formula>
    </cfRule>
    <cfRule type="cellIs" dxfId="27" priority="3" operator="greaterThan">
      <formula>0.3</formula>
    </cfRule>
    <cfRule type="cellIs" dxfId="26" priority="4" operator="between">
      <formula>0.01</formula>
      <formula>0.29</formula>
    </cfRule>
  </conditionalFormatting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171D-82A9-4384-BC86-C717FC468A6C}">
  <dimension ref="A2:D35"/>
  <sheetViews>
    <sheetView workbookViewId="0">
      <selection activeCell="K24" sqref="K24"/>
    </sheetView>
  </sheetViews>
  <sheetFormatPr defaultRowHeight="13.8" x14ac:dyDescent="0.25"/>
  <cols>
    <col min="1" max="1" width="4.88671875" style="12" customWidth="1"/>
    <col min="2" max="2" width="8.88671875" style="12"/>
    <col min="3" max="3" width="16.33203125" style="12" customWidth="1"/>
    <col min="4" max="4" width="20" style="12" customWidth="1"/>
    <col min="5" max="6" width="8.88671875" style="12"/>
    <col min="7" max="7" width="6.21875" style="12" customWidth="1"/>
    <col min="8" max="16384" width="8.88671875" style="12"/>
  </cols>
  <sheetData>
    <row r="2" spans="1:4" x14ac:dyDescent="0.25">
      <c r="B2" s="15"/>
      <c r="C2" s="15" t="s">
        <v>13</v>
      </c>
      <c r="D2" s="15" t="s">
        <v>12</v>
      </c>
    </row>
    <row r="3" spans="1:4" x14ac:dyDescent="0.25">
      <c r="A3" s="12">
        <v>1</v>
      </c>
      <c r="B3" s="15"/>
      <c r="C3" s="17">
        <v>563.94000000000005</v>
      </c>
      <c r="D3" s="16">
        <v>586</v>
      </c>
    </row>
    <row r="4" spans="1:4" x14ac:dyDescent="0.25">
      <c r="A4" s="12">
        <v>2</v>
      </c>
      <c r="B4" s="15"/>
      <c r="C4" s="17">
        <v>565.73</v>
      </c>
      <c r="D4" s="16">
        <v>577</v>
      </c>
    </row>
    <row r="5" spans="1:4" x14ac:dyDescent="0.25">
      <c r="A5" s="12">
        <v>3</v>
      </c>
      <c r="B5" s="15"/>
      <c r="C5" s="17">
        <v>568.15</v>
      </c>
      <c r="D5" s="16">
        <v>565</v>
      </c>
    </row>
    <row r="6" spans="1:4" x14ac:dyDescent="0.25">
      <c r="A6" s="12">
        <v>4</v>
      </c>
      <c r="B6" s="15"/>
      <c r="C6" s="17">
        <v>569.51</v>
      </c>
      <c r="D6" s="16">
        <v>563</v>
      </c>
    </row>
    <row r="7" spans="1:4" x14ac:dyDescent="0.25">
      <c r="A7" s="12">
        <v>5</v>
      </c>
      <c r="B7" s="15"/>
      <c r="C7" s="17">
        <v>570.26</v>
      </c>
      <c r="D7" s="16">
        <v>565</v>
      </c>
    </row>
    <row r="8" spans="1:4" x14ac:dyDescent="0.25">
      <c r="A8" s="12">
        <v>6</v>
      </c>
      <c r="B8" s="15"/>
      <c r="C8" s="17">
        <v>569.95000000000005</v>
      </c>
      <c r="D8" s="16">
        <v>567</v>
      </c>
    </row>
    <row r="9" spans="1:4" x14ac:dyDescent="0.25">
      <c r="A9" s="12">
        <v>7</v>
      </c>
      <c r="B9" s="15"/>
      <c r="C9" s="17">
        <v>570.77</v>
      </c>
      <c r="D9" s="16">
        <v>569</v>
      </c>
    </row>
    <row r="10" spans="1:4" x14ac:dyDescent="0.25">
      <c r="A10" s="12">
        <v>8</v>
      </c>
      <c r="B10" s="15"/>
      <c r="C10" s="17">
        <v>573.44000000000005</v>
      </c>
      <c r="D10" s="16">
        <v>571</v>
      </c>
    </row>
    <row r="11" spans="1:4" x14ac:dyDescent="0.25">
      <c r="A11" s="12">
        <v>9</v>
      </c>
      <c r="B11" s="15"/>
      <c r="C11" s="17">
        <v>573.52</v>
      </c>
      <c r="D11" s="16">
        <v>571</v>
      </c>
    </row>
    <row r="12" spans="1:4" x14ac:dyDescent="0.25">
      <c r="A12" s="12">
        <v>10</v>
      </c>
      <c r="B12" s="15"/>
      <c r="C12" s="17">
        <v>573.16999999999996</v>
      </c>
      <c r="D12" s="16">
        <v>569</v>
      </c>
    </row>
    <row r="13" spans="1:4" x14ac:dyDescent="0.25">
      <c r="A13" s="12">
        <v>11</v>
      </c>
      <c r="B13" s="15"/>
      <c r="C13" s="17">
        <v>573.79999999999995</v>
      </c>
      <c r="D13" s="16">
        <v>567</v>
      </c>
    </row>
    <row r="14" spans="1:4" x14ac:dyDescent="0.25">
      <c r="A14" s="12">
        <v>12</v>
      </c>
      <c r="B14" s="15"/>
      <c r="C14" s="17">
        <v>574.85</v>
      </c>
      <c r="D14" s="16">
        <v>567</v>
      </c>
    </row>
    <row r="15" spans="1:4" x14ac:dyDescent="0.25">
      <c r="A15" s="12">
        <v>13</v>
      </c>
      <c r="B15" s="15"/>
      <c r="C15" s="17">
        <v>574.87</v>
      </c>
      <c r="D15" s="16">
        <v>571</v>
      </c>
    </row>
    <row r="16" spans="1:4" x14ac:dyDescent="0.25">
      <c r="A16" s="12">
        <v>14</v>
      </c>
      <c r="B16" s="15"/>
      <c r="C16" s="17">
        <v>573.53</v>
      </c>
      <c r="D16" s="16">
        <v>577</v>
      </c>
    </row>
    <row r="17" spans="1:4" x14ac:dyDescent="0.25">
      <c r="A17" s="12">
        <v>15</v>
      </c>
      <c r="B17" s="15"/>
      <c r="C17" s="17">
        <v>573.41999999999996</v>
      </c>
      <c r="D17" s="16">
        <v>581</v>
      </c>
    </row>
    <row r="18" spans="1:4" x14ac:dyDescent="0.25">
      <c r="A18" s="12">
        <v>16</v>
      </c>
      <c r="B18" s="15"/>
      <c r="C18" s="17">
        <v>572.26</v>
      </c>
      <c r="D18" s="16">
        <v>583</v>
      </c>
    </row>
    <row r="19" spans="1:4" x14ac:dyDescent="0.25">
      <c r="A19" s="12">
        <v>17</v>
      </c>
      <c r="B19" s="15"/>
      <c r="C19" s="17">
        <v>573.17999999999995</v>
      </c>
      <c r="D19" s="16">
        <v>581</v>
      </c>
    </row>
    <row r="20" spans="1:4" x14ac:dyDescent="0.25">
      <c r="A20" s="12">
        <v>18</v>
      </c>
      <c r="B20" s="15"/>
      <c r="C20" s="17">
        <v>572.89</v>
      </c>
      <c r="D20" s="16">
        <v>580</v>
      </c>
    </row>
    <row r="21" spans="1:4" x14ac:dyDescent="0.25">
      <c r="A21" s="12">
        <v>19</v>
      </c>
      <c r="B21" s="15"/>
      <c r="C21" s="17">
        <v>572.59</v>
      </c>
      <c r="D21" s="16">
        <v>580</v>
      </c>
    </row>
    <row r="22" spans="1:4" x14ac:dyDescent="0.25">
      <c r="A22" s="12">
        <v>20</v>
      </c>
      <c r="B22" s="15"/>
      <c r="C22" s="17">
        <v>572.9</v>
      </c>
      <c r="D22" s="16">
        <v>581</v>
      </c>
    </row>
    <row r="23" spans="1:4" x14ac:dyDescent="0.25">
      <c r="A23" s="12">
        <v>21</v>
      </c>
      <c r="B23" s="15"/>
      <c r="C23" s="17">
        <v>572.73</v>
      </c>
      <c r="D23" s="16">
        <v>580</v>
      </c>
    </row>
    <row r="24" spans="1:4" x14ac:dyDescent="0.25">
      <c r="A24" s="12">
        <v>22</v>
      </c>
      <c r="B24" s="15"/>
      <c r="C24" s="17">
        <v>573.01</v>
      </c>
      <c r="D24" s="16">
        <v>576</v>
      </c>
    </row>
    <row r="25" spans="1:4" x14ac:dyDescent="0.25">
      <c r="A25" s="12">
        <v>23</v>
      </c>
      <c r="B25" s="15"/>
      <c r="C25" s="17">
        <v>574.94000000000005</v>
      </c>
      <c r="D25" s="16">
        <v>570</v>
      </c>
    </row>
    <row r="26" spans="1:4" x14ac:dyDescent="0.25">
      <c r="A26" s="12">
        <v>24</v>
      </c>
      <c r="B26" s="15"/>
      <c r="C26" s="17">
        <v>573.17999999999995</v>
      </c>
      <c r="D26" s="16">
        <v>565</v>
      </c>
    </row>
    <row r="27" spans="1:4" x14ac:dyDescent="0.25">
      <c r="A27" s="12">
        <v>25</v>
      </c>
      <c r="B27" s="15"/>
      <c r="C27" s="17">
        <v>573.61</v>
      </c>
      <c r="D27" s="16">
        <v>563</v>
      </c>
    </row>
    <row r="28" spans="1:4" x14ac:dyDescent="0.25">
      <c r="A28" s="12">
        <v>26</v>
      </c>
      <c r="B28" s="15"/>
      <c r="C28" s="17">
        <v>572.83000000000004</v>
      </c>
      <c r="D28" s="16">
        <v>568</v>
      </c>
    </row>
    <row r="29" spans="1:4" x14ac:dyDescent="0.25">
      <c r="A29" s="12">
        <v>27</v>
      </c>
      <c r="B29" s="15"/>
      <c r="C29" s="17">
        <v>573.54</v>
      </c>
      <c r="D29" s="16">
        <v>570</v>
      </c>
    </row>
    <row r="30" spans="1:4" x14ac:dyDescent="0.25">
      <c r="A30" s="12">
        <v>28</v>
      </c>
      <c r="B30" s="15"/>
      <c r="C30" s="17">
        <v>572.53</v>
      </c>
      <c r="D30" s="16">
        <v>574</v>
      </c>
    </row>
    <row r="31" spans="1:4" x14ac:dyDescent="0.25">
      <c r="A31" s="12">
        <v>29</v>
      </c>
      <c r="B31" s="15"/>
      <c r="C31" s="17">
        <v>573.20000000000005</v>
      </c>
      <c r="D31" s="16">
        <v>580</v>
      </c>
    </row>
    <row r="32" spans="1:4" x14ac:dyDescent="0.25">
      <c r="A32" s="12">
        <v>30</v>
      </c>
      <c r="B32" s="15"/>
      <c r="C32" s="17">
        <v>572.99</v>
      </c>
      <c r="D32" s="16">
        <v>584</v>
      </c>
    </row>
    <row r="33" spans="1:4" x14ac:dyDescent="0.25">
      <c r="A33" s="12">
        <v>31</v>
      </c>
      <c r="B33" s="15"/>
      <c r="C33" s="17">
        <v>572.75</v>
      </c>
      <c r="D33" s="16">
        <v>586</v>
      </c>
    </row>
    <row r="34" spans="1:4" x14ac:dyDescent="0.25">
      <c r="A34" s="12">
        <v>32</v>
      </c>
      <c r="B34" s="15"/>
      <c r="C34" s="17">
        <v>572.51</v>
      </c>
      <c r="D34" s="16">
        <v>586</v>
      </c>
    </row>
    <row r="35" spans="1:4" x14ac:dyDescent="0.25">
      <c r="B35" s="15" t="s">
        <v>11</v>
      </c>
      <c r="C35" s="14">
        <f>AVERAGE(C3:C34)</f>
        <v>572.20468749999998</v>
      </c>
      <c r="D35" s="13">
        <f>AVERAGE(D3:D34)</f>
        <v>574.15625</v>
      </c>
    </row>
  </sheetData>
  <conditionalFormatting sqref="C3:D34">
    <cfRule type="expression" dxfId="25" priority="1">
      <formula>MOD(ROW(),2)=0</formula>
    </cfRule>
  </conditionalFormatting>
  <pageMargins left="0" right="0" top="0.25" bottom="0.25" header="0" footer="0"/>
  <pageSetup paperSize="5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BF17-89CE-41AB-A188-E6BF628565F8}">
  <dimension ref="A2:D27"/>
  <sheetViews>
    <sheetView workbookViewId="0">
      <selection activeCell="H34" sqref="H34"/>
    </sheetView>
  </sheetViews>
  <sheetFormatPr defaultRowHeight="13.8" x14ac:dyDescent="0.25"/>
  <cols>
    <col min="1" max="1" width="4.88671875" style="12" customWidth="1"/>
    <col min="2" max="2" width="8.88671875" style="12"/>
    <col min="3" max="3" width="16.33203125" style="12" customWidth="1"/>
    <col min="4" max="4" width="20" style="12" customWidth="1"/>
    <col min="5" max="6" width="8.88671875" style="12"/>
    <col min="7" max="7" width="6.21875" style="12" customWidth="1"/>
    <col min="8" max="16384" width="8.88671875" style="12"/>
  </cols>
  <sheetData>
    <row r="2" spans="1:4" x14ac:dyDescent="0.25">
      <c r="B2" s="15"/>
      <c r="C2" s="15" t="s">
        <v>13</v>
      </c>
      <c r="D2" s="15" t="s">
        <v>12</v>
      </c>
    </row>
    <row r="3" spans="1:4" x14ac:dyDescent="0.25">
      <c r="A3" s="12">
        <v>1</v>
      </c>
      <c r="B3" s="15"/>
      <c r="C3" s="18">
        <v>423.81</v>
      </c>
      <c r="D3" s="16">
        <v>428</v>
      </c>
    </row>
    <row r="4" spans="1:4" x14ac:dyDescent="0.25">
      <c r="A4" s="12">
        <v>2</v>
      </c>
      <c r="B4" s="15"/>
      <c r="C4" s="19">
        <v>426.75</v>
      </c>
      <c r="D4" s="16">
        <v>430</v>
      </c>
    </row>
    <row r="5" spans="1:4" x14ac:dyDescent="0.25">
      <c r="A5" s="12">
        <v>3</v>
      </c>
      <c r="B5" s="15"/>
      <c r="C5" s="19">
        <v>431.19</v>
      </c>
      <c r="D5" s="16">
        <v>438</v>
      </c>
    </row>
    <row r="6" spans="1:4" x14ac:dyDescent="0.25">
      <c r="A6" s="12">
        <v>4</v>
      </c>
      <c r="B6" s="15"/>
      <c r="C6" s="19">
        <v>640.57000000000005</v>
      </c>
      <c r="D6" s="16">
        <v>610</v>
      </c>
    </row>
    <row r="7" spans="1:4" x14ac:dyDescent="0.25">
      <c r="A7" s="12">
        <v>5</v>
      </c>
      <c r="B7" s="15"/>
      <c r="C7" s="19">
        <v>1010.15</v>
      </c>
      <c r="D7" s="16">
        <v>736</v>
      </c>
    </row>
    <row r="8" spans="1:4" x14ac:dyDescent="0.25">
      <c r="A8" s="12">
        <v>6</v>
      </c>
      <c r="B8" s="15"/>
      <c r="C8" s="19">
        <v>3061.05</v>
      </c>
      <c r="D8" s="16">
        <v>1067</v>
      </c>
    </row>
    <row r="9" spans="1:4" x14ac:dyDescent="0.25">
      <c r="A9" s="12">
        <v>7</v>
      </c>
      <c r="B9" s="15"/>
      <c r="C9" s="19">
        <v>5251.21</v>
      </c>
      <c r="D9" s="16">
        <v>1739</v>
      </c>
    </row>
    <row r="10" spans="1:4" x14ac:dyDescent="0.25">
      <c r="A10" s="12">
        <v>8</v>
      </c>
      <c r="B10" s="15"/>
      <c r="C10" s="19">
        <v>5410.52</v>
      </c>
      <c r="D10" s="16">
        <v>1855</v>
      </c>
    </row>
    <row r="11" spans="1:4" x14ac:dyDescent="0.25">
      <c r="A11" s="12">
        <v>9</v>
      </c>
      <c r="B11" s="15"/>
      <c r="C11" s="19">
        <v>5769.17</v>
      </c>
      <c r="D11" s="16">
        <v>1962</v>
      </c>
    </row>
    <row r="12" spans="1:4" x14ac:dyDescent="0.25">
      <c r="A12" s="12">
        <v>10</v>
      </c>
      <c r="B12" s="15"/>
      <c r="C12" s="19">
        <v>3522.22</v>
      </c>
      <c r="D12" s="16">
        <v>1496</v>
      </c>
    </row>
    <row r="13" spans="1:4" x14ac:dyDescent="0.25">
      <c r="A13" s="12">
        <v>11</v>
      </c>
      <c r="B13" s="15"/>
      <c r="C13" s="19">
        <v>2853.84</v>
      </c>
      <c r="D13" s="16">
        <v>1152</v>
      </c>
    </row>
    <row r="14" spans="1:4" x14ac:dyDescent="0.25">
      <c r="A14" s="12">
        <v>12</v>
      </c>
      <c r="B14" s="15"/>
      <c r="C14" s="19">
        <v>2242.27</v>
      </c>
      <c r="D14" s="16">
        <v>1007</v>
      </c>
    </row>
    <row r="15" spans="1:4" x14ac:dyDescent="0.25">
      <c r="A15" s="12">
        <v>13</v>
      </c>
      <c r="B15" s="15"/>
      <c r="C15" s="19">
        <v>2355.81</v>
      </c>
      <c r="D15" s="16">
        <v>814</v>
      </c>
    </row>
    <row r="16" spans="1:4" x14ac:dyDescent="0.25">
      <c r="A16" s="12">
        <v>14</v>
      </c>
      <c r="B16" s="15"/>
      <c r="C16" s="19">
        <v>1891.6</v>
      </c>
      <c r="D16" s="16">
        <v>735</v>
      </c>
    </row>
    <row r="17" spans="1:4" x14ac:dyDescent="0.25">
      <c r="A17" s="12">
        <v>15</v>
      </c>
      <c r="B17" s="15"/>
      <c r="C17" s="19">
        <v>1489.79</v>
      </c>
      <c r="D17" s="16">
        <v>652</v>
      </c>
    </row>
    <row r="18" spans="1:4" x14ac:dyDescent="0.25">
      <c r="A18" s="12">
        <v>16</v>
      </c>
      <c r="B18" s="15"/>
      <c r="C18" s="19">
        <v>1042.45</v>
      </c>
      <c r="D18" s="16">
        <v>560</v>
      </c>
    </row>
    <row r="19" spans="1:4" x14ac:dyDescent="0.25">
      <c r="A19" s="12">
        <v>17</v>
      </c>
      <c r="B19" s="15"/>
      <c r="C19" s="19">
        <v>786.73</v>
      </c>
      <c r="D19" s="16">
        <v>502</v>
      </c>
    </row>
    <row r="20" spans="1:4" x14ac:dyDescent="0.25">
      <c r="A20" s="12">
        <v>18</v>
      </c>
      <c r="B20" s="15"/>
      <c r="C20" s="19">
        <v>622.88</v>
      </c>
      <c r="D20" s="16">
        <v>486</v>
      </c>
    </row>
    <row r="21" spans="1:4" x14ac:dyDescent="0.25">
      <c r="A21" s="12">
        <v>19</v>
      </c>
      <c r="B21" s="15"/>
      <c r="C21" s="19">
        <v>553.80999999999995</v>
      </c>
      <c r="D21" s="16">
        <v>491</v>
      </c>
    </row>
    <row r="22" spans="1:4" x14ac:dyDescent="0.25">
      <c r="A22" s="12">
        <v>20</v>
      </c>
      <c r="B22" s="15"/>
      <c r="C22" s="19">
        <v>484.25</v>
      </c>
      <c r="D22" s="16">
        <v>482</v>
      </c>
    </row>
    <row r="23" spans="1:4" x14ac:dyDescent="0.25">
      <c r="A23" s="12">
        <v>21</v>
      </c>
      <c r="B23" s="15"/>
      <c r="C23" s="19">
        <v>448.88</v>
      </c>
      <c r="D23" s="16">
        <v>449</v>
      </c>
    </row>
    <row r="24" spans="1:4" x14ac:dyDescent="0.25">
      <c r="A24" s="12">
        <v>22</v>
      </c>
      <c r="B24" s="15"/>
      <c r="C24" s="19">
        <v>419.07</v>
      </c>
      <c r="D24" s="16">
        <v>440</v>
      </c>
    </row>
    <row r="25" spans="1:4" x14ac:dyDescent="0.25">
      <c r="A25" s="12">
        <v>23</v>
      </c>
      <c r="B25" s="15"/>
      <c r="C25" s="19">
        <v>379.07</v>
      </c>
      <c r="D25" s="16">
        <v>416</v>
      </c>
    </row>
    <row r="26" spans="1:4" x14ac:dyDescent="0.25">
      <c r="A26" s="12">
        <v>24</v>
      </c>
      <c r="B26" s="15"/>
      <c r="C26" s="19">
        <v>359.44</v>
      </c>
      <c r="D26" s="16">
        <v>405</v>
      </c>
    </row>
    <row r="27" spans="1:4" x14ac:dyDescent="0.25">
      <c r="B27" s="15" t="s">
        <v>11</v>
      </c>
      <c r="C27" s="13">
        <f>AVERAGE(C4:C26)</f>
        <v>1802.2921739130431</v>
      </c>
      <c r="D27" s="13">
        <f>AVERAGE(D3:D26)</f>
        <v>806.33333333333337</v>
      </c>
    </row>
  </sheetData>
  <conditionalFormatting sqref="D3 C4:D26">
    <cfRule type="expression" dxfId="20" priority="1">
      <formula>MOD(ROW(),2)=0</formula>
    </cfRule>
  </conditionalFormatting>
  <pageMargins left="0" right="0" top="0.25" bottom="0.25" header="0" footer="0"/>
  <pageSetup paperSize="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AFCB-8B2A-4CBD-BA8E-29DAA78BA1EA}">
  <dimension ref="A1"/>
  <sheetViews>
    <sheetView workbookViewId="0">
      <selection activeCell="K24" sqref="K24"/>
    </sheetView>
  </sheetViews>
  <sheetFormatPr defaultRowHeight="13.2" x14ac:dyDescent="0.25"/>
  <cols>
    <col min="1" max="1" width="4.88671875" customWidth="1"/>
    <col min="7" max="7" width="6.21875" customWidth="1"/>
  </cols>
  <sheetData/>
  <pageMargins left="0" right="0" top="0.25" bottom="0.25" header="0" footer="0"/>
  <pageSetup paperSize="5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BB24-3763-4700-8281-ACED26DDE879}">
  <dimension ref="B2:D72"/>
  <sheetViews>
    <sheetView topLeftCell="A57" workbookViewId="0">
      <selection activeCell="K24" sqref="K24"/>
    </sheetView>
  </sheetViews>
  <sheetFormatPr defaultRowHeight="13.8" x14ac:dyDescent="0.25"/>
  <cols>
    <col min="1" max="1" width="4.88671875" style="12" customWidth="1"/>
    <col min="2" max="2" width="8.88671875" style="12"/>
    <col min="3" max="3" width="16.33203125" style="12" customWidth="1"/>
    <col min="4" max="4" width="20" style="12" customWidth="1"/>
    <col min="5" max="6" width="8.88671875" style="12"/>
    <col min="7" max="7" width="6.21875" style="12" customWidth="1"/>
    <col min="8" max="16384" width="8.88671875" style="12"/>
  </cols>
  <sheetData>
    <row r="2" spans="2:4" x14ac:dyDescent="0.25">
      <c r="B2" s="15"/>
      <c r="C2" s="15" t="s">
        <v>13</v>
      </c>
      <c r="D2" s="15" t="s">
        <v>12</v>
      </c>
    </row>
    <row r="3" spans="2:4" x14ac:dyDescent="0.25">
      <c r="B3" s="15"/>
      <c r="C3" s="16">
        <v>20143</v>
      </c>
      <c r="D3" s="16">
        <v>20639</v>
      </c>
    </row>
    <row r="4" spans="2:4" x14ac:dyDescent="0.25">
      <c r="B4" s="15"/>
      <c r="C4" s="16">
        <v>20145</v>
      </c>
      <c r="D4" s="16">
        <v>20640</v>
      </c>
    </row>
    <row r="5" spans="2:4" x14ac:dyDescent="0.25">
      <c r="B5" s="15"/>
      <c r="C5" s="16">
        <v>20143</v>
      </c>
      <c r="D5" s="16">
        <v>20639</v>
      </c>
    </row>
    <row r="6" spans="2:4" x14ac:dyDescent="0.25">
      <c r="B6" s="15"/>
      <c r="C6" s="16">
        <v>20143</v>
      </c>
      <c r="D6" s="16">
        <v>20639</v>
      </c>
    </row>
    <row r="7" spans="2:4" x14ac:dyDescent="0.25">
      <c r="B7" s="15"/>
      <c r="C7" s="16">
        <v>20145</v>
      </c>
      <c r="D7" s="16">
        <v>20640</v>
      </c>
    </row>
    <row r="8" spans="2:4" x14ac:dyDescent="0.25">
      <c r="B8" s="15"/>
      <c r="C8" s="16">
        <v>20137</v>
      </c>
      <c r="D8" s="16">
        <v>20632</v>
      </c>
    </row>
    <row r="9" spans="2:4" x14ac:dyDescent="0.25">
      <c r="B9" s="15"/>
      <c r="C9" s="16">
        <v>20139</v>
      </c>
      <c r="D9" s="16">
        <v>20634</v>
      </c>
    </row>
    <row r="10" spans="2:4" x14ac:dyDescent="0.25">
      <c r="B10" s="15"/>
      <c r="C10" s="16">
        <v>20139</v>
      </c>
      <c r="D10" s="16">
        <v>20634</v>
      </c>
    </row>
    <row r="11" spans="2:4" x14ac:dyDescent="0.25">
      <c r="B11" s="15"/>
      <c r="C11" s="16">
        <v>20139</v>
      </c>
      <c r="D11" s="16">
        <v>20634</v>
      </c>
    </row>
    <row r="12" spans="2:4" x14ac:dyDescent="0.25">
      <c r="B12" s="15"/>
      <c r="C12" s="16">
        <v>20131</v>
      </c>
      <c r="D12" s="16">
        <v>20626</v>
      </c>
    </row>
    <row r="13" spans="2:4" x14ac:dyDescent="0.25">
      <c r="B13" s="15"/>
      <c r="C13" s="16">
        <v>20141</v>
      </c>
      <c r="D13" s="16">
        <v>20636</v>
      </c>
    </row>
    <row r="14" spans="2:4" x14ac:dyDescent="0.25">
      <c r="B14" s="15"/>
      <c r="C14" s="16">
        <v>20141</v>
      </c>
      <c r="D14" s="16">
        <v>20636</v>
      </c>
    </row>
    <row r="15" spans="2:4" x14ac:dyDescent="0.25">
      <c r="B15" s="15"/>
      <c r="C15" s="16">
        <v>20140</v>
      </c>
      <c r="D15" s="16">
        <v>20635</v>
      </c>
    </row>
    <row r="16" spans="2:4" x14ac:dyDescent="0.25">
      <c r="B16" s="15"/>
      <c r="C16" s="16">
        <v>20140</v>
      </c>
      <c r="D16" s="16">
        <v>20635</v>
      </c>
    </row>
    <row r="17" spans="2:4" x14ac:dyDescent="0.25">
      <c r="B17" s="15"/>
      <c r="C17" s="16">
        <v>20140</v>
      </c>
      <c r="D17" s="16">
        <v>20635</v>
      </c>
    </row>
    <row r="18" spans="2:4" x14ac:dyDescent="0.25">
      <c r="B18" s="15"/>
      <c r="C18" s="16">
        <v>20138</v>
      </c>
      <c r="D18" s="16">
        <v>20634</v>
      </c>
    </row>
    <row r="19" spans="2:4" x14ac:dyDescent="0.25">
      <c r="B19" s="15"/>
      <c r="C19" s="16">
        <v>20137</v>
      </c>
      <c r="D19" s="16">
        <v>20632</v>
      </c>
    </row>
    <row r="20" spans="2:4" x14ac:dyDescent="0.25">
      <c r="B20" s="15"/>
      <c r="C20" s="16">
        <v>20137</v>
      </c>
      <c r="D20" s="16">
        <v>20632</v>
      </c>
    </row>
    <row r="21" spans="2:4" x14ac:dyDescent="0.25">
      <c r="B21" s="15"/>
      <c r="C21" s="16">
        <v>20138</v>
      </c>
      <c r="D21" s="16">
        <v>20634</v>
      </c>
    </row>
    <row r="22" spans="2:4" x14ac:dyDescent="0.25">
      <c r="B22" s="15"/>
      <c r="C22" s="16">
        <v>20138</v>
      </c>
      <c r="D22" s="16">
        <v>20634</v>
      </c>
    </row>
    <row r="23" spans="2:4" x14ac:dyDescent="0.25">
      <c r="B23" s="15"/>
      <c r="C23" s="16">
        <v>20138</v>
      </c>
      <c r="D23" s="16">
        <v>20634</v>
      </c>
    </row>
    <row r="24" spans="2:4" x14ac:dyDescent="0.25">
      <c r="B24" s="15"/>
      <c r="C24" s="16">
        <v>20137</v>
      </c>
      <c r="D24" s="16">
        <v>20632</v>
      </c>
    </row>
    <row r="25" spans="2:4" x14ac:dyDescent="0.25">
      <c r="B25" s="15"/>
      <c r="C25" s="16">
        <v>20138</v>
      </c>
      <c r="D25" s="16">
        <v>20634</v>
      </c>
    </row>
    <row r="26" spans="2:4" x14ac:dyDescent="0.25">
      <c r="B26" s="15"/>
      <c r="C26" s="16">
        <v>20130</v>
      </c>
      <c r="D26" s="16">
        <v>20625</v>
      </c>
    </row>
    <row r="27" spans="2:4" x14ac:dyDescent="0.25">
      <c r="B27" s="15"/>
      <c r="C27" s="16">
        <v>20128</v>
      </c>
      <c r="D27" s="16">
        <v>20624</v>
      </c>
    </row>
    <row r="28" spans="2:4" x14ac:dyDescent="0.25">
      <c r="B28" s="15"/>
      <c r="C28" s="16">
        <v>20136</v>
      </c>
      <c r="D28" s="16">
        <v>20631</v>
      </c>
    </row>
    <row r="29" spans="2:4" x14ac:dyDescent="0.25">
      <c r="B29" s="15"/>
      <c r="C29" s="16">
        <v>20134</v>
      </c>
      <c r="D29" s="16">
        <v>20629</v>
      </c>
    </row>
    <row r="30" spans="2:4" x14ac:dyDescent="0.25">
      <c r="B30" s="15"/>
      <c r="C30" s="16">
        <v>20134</v>
      </c>
      <c r="D30" s="16">
        <v>20629</v>
      </c>
    </row>
    <row r="31" spans="2:4" x14ac:dyDescent="0.25">
      <c r="B31" s="15"/>
      <c r="C31" s="16">
        <v>20135</v>
      </c>
      <c r="D31" s="16">
        <v>20631</v>
      </c>
    </row>
    <row r="32" spans="2:4" x14ac:dyDescent="0.25">
      <c r="B32" s="15"/>
      <c r="C32" s="16">
        <v>20135</v>
      </c>
      <c r="D32" s="16">
        <v>20631</v>
      </c>
    </row>
    <row r="33" spans="2:4" x14ac:dyDescent="0.25">
      <c r="B33" s="15"/>
      <c r="C33" s="16">
        <v>20126</v>
      </c>
      <c r="D33" s="16">
        <v>20622</v>
      </c>
    </row>
    <row r="34" spans="2:4" x14ac:dyDescent="0.25">
      <c r="B34" s="15"/>
      <c r="C34" s="16">
        <v>20126</v>
      </c>
      <c r="D34" s="16">
        <v>20622</v>
      </c>
    </row>
    <row r="35" spans="2:4" x14ac:dyDescent="0.25">
      <c r="B35" s="15"/>
      <c r="C35" s="16">
        <v>20126</v>
      </c>
      <c r="D35" s="16">
        <v>20622</v>
      </c>
    </row>
    <row r="36" spans="2:4" x14ac:dyDescent="0.25">
      <c r="B36" s="15"/>
      <c r="C36" s="16">
        <v>20123</v>
      </c>
      <c r="D36" s="16">
        <v>20619</v>
      </c>
    </row>
    <row r="37" spans="2:4" x14ac:dyDescent="0.25">
      <c r="B37" s="15"/>
      <c r="C37" s="16">
        <v>20123</v>
      </c>
      <c r="D37" s="16">
        <v>20619</v>
      </c>
    </row>
    <row r="38" spans="2:4" x14ac:dyDescent="0.25">
      <c r="B38" s="15"/>
      <c r="C38" s="16">
        <v>20123</v>
      </c>
      <c r="D38" s="16">
        <v>20619</v>
      </c>
    </row>
    <row r="39" spans="2:4" x14ac:dyDescent="0.25">
      <c r="B39" s="15"/>
      <c r="C39" s="16">
        <v>20120</v>
      </c>
      <c r="D39" s="16">
        <v>20615</v>
      </c>
    </row>
    <row r="40" spans="2:4" x14ac:dyDescent="0.25">
      <c r="B40" s="15"/>
      <c r="C40" s="16">
        <v>20120</v>
      </c>
      <c r="D40" s="16">
        <v>20615</v>
      </c>
    </row>
    <row r="41" spans="2:4" x14ac:dyDescent="0.25">
      <c r="B41" s="15"/>
      <c r="C41" s="16">
        <v>20120</v>
      </c>
      <c r="D41" s="16">
        <v>20615</v>
      </c>
    </row>
    <row r="42" spans="2:4" x14ac:dyDescent="0.25">
      <c r="B42" s="15"/>
      <c r="C42" s="16">
        <v>20122</v>
      </c>
      <c r="D42" s="16">
        <v>20617</v>
      </c>
    </row>
    <row r="43" spans="2:4" x14ac:dyDescent="0.25">
      <c r="B43" s="15"/>
      <c r="C43" s="16">
        <v>20121</v>
      </c>
      <c r="D43" s="16">
        <v>20617</v>
      </c>
    </row>
    <row r="44" spans="2:4" x14ac:dyDescent="0.25">
      <c r="B44" s="15"/>
      <c r="C44" s="16">
        <v>20123</v>
      </c>
      <c r="D44" s="16">
        <v>20618</v>
      </c>
    </row>
    <row r="45" spans="2:4" x14ac:dyDescent="0.25">
      <c r="B45" s="15"/>
      <c r="C45" s="16">
        <v>20123</v>
      </c>
      <c r="D45" s="16">
        <v>20618</v>
      </c>
    </row>
    <row r="46" spans="2:4" x14ac:dyDescent="0.25">
      <c r="B46" s="15"/>
      <c r="C46" s="16">
        <v>20132</v>
      </c>
      <c r="D46" s="16">
        <v>20627</v>
      </c>
    </row>
    <row r="47" spans="2:4" x14ac:dyDescent="0.25">
      <c r="B47" s="15"/>
      <c r="C47" s="16">
        <v>20133</v>
      </c>
      <c r="D47" s="16">
        <v>20629</v>
      </c>
    </row>
    <row r="48" spans="2:4" x14ac:dyDescent="0.25">
      <c r="B48" s="15"/>
      <c r="C48" s="16">
        <v>20135</v>
      </c>
      <c r="D48" s="16">
        <v>20630</v>
      </c>
    </row>
    <row r="49" spans="2:4" x14ac:dyDescent="0.25">
      <c r="B49" s="15"/>
      <c r="C49" s="16">
        <v>20136</v>
      </c>
      <c r="D49" s="16">
        <v>20632</v>
      </c>
    </row>
    <row r="50" spans="2:4" x14ac:dyDescent="0.25">
      <c r="B50" s="15"/>
      <c r="C50" s="16">
        <v>20138</v>
      </c>
      <c r="D50" s="16">
        <v>20633</v>
      </c>
    </row>
    <row r="51" spans="2:4" x14ac:dyDescent="0.25">
      <c r="B51" s="15"/>
      <c r="C51" s="16">
        <v>20138</v>
      </c>
      <c r="D51" s="16">
        <v>20633</v>
      </c>
    </row>
    <row r="52" spans="2:4" x14ac:dyDescent="0.25">
      <c r="B52" s="15"/>
      <c r="C52" s="16">
        <v>20138</v>
      </c>
      <c r="D52" s="16">
        <v>20633</v>
      </c>
    </row>
    <row r="53" spans="2:4" x14ac:dyDescent="0.25">
      <c r="B53" s="15"/>
      <c r="C53" s="16">
        <v>20138</v>
      </c>
      <c r="D53" s="16">
        <v>20633</v>
      </c>
    </row>
    <row r="54" spans="2:4" x14ac:dyDescent="0.25">
      <c r="B54" s="15"/>
      <c r="C54" s="16">
        <v>20139</v>
      </c>
      <c r="D54" s="16">
        <v>20635</v>
      </c>
    </row>
    <row r="55" spans="2:4" x14ac:dyDescent="0.25">
      <c r="B55" s="15"/>
      <c r="C55" s="16">
        <v>20141</v>
      </c>
      <c r="D55" s="16">
        <v>20636</v>
      </c>
    </row>
    <row r="56" spans="2:4" x14ac:dyDescent="0.25">
      <c r="B56" s="15"/>
      <c r="C56" s="16">
        <v>20144</v>
      </c>
      <c r="D56" s="16">
        <v>20639</v>
      </c>
    </row>
    <row r="57" spans="2:4" x14ac:dyDescent="0.25">
      <c r="B57" s="15"/>
      <c r="C57" s="16">
        <v>20144</v>
      </c>
      <c r="D57" s="16">
        <v>20639</v>
      </c>
    </row>
    <row r="58" spans="2:4" x14ac:dyDescent="0.25">
      <c r="B58" s="15"/>
      <c r="C58" s="16">
        <v>20145</v>
      </c>
      <c r="D58" s="16">
        <v>20641</v>
      </c>
    </row>
    <row r="59" spans="2:4" x14ac:dyDescent="0.25">
      <c r="B59" s="15"/>
      <c r="C59" s="16">
        <v>20148</v>
      </c>
      <c r="D59" s="16">
        <v>20644</v>
      </c>
    </row>
    <row r="60" spans="2:4" x14ac:dyDescent="0.25">
      <c r="B60" s="15"/>
      <c r="C60" s="16">
        <v>20150</v>
      </c>
      <c r="D60" s="16">
        <v>20645</v>
      </c>
    </row>
    <row r="61" spans="2:4" x14ac:dyDescent="0.25">
      <c r="B61" s="15"/>
      <c r="C61" s="16">
        <v>20150</v>
      </c>
      <c r="D61" s="16">
        <v>20645</v>
      </c>
    </row>
    <row r="62" spans="2:4" x14ac:dyDescent="0.25">
      <c r="B62" s="15"/>
      <c r="C62" s="16">
        <v>20150</v>
      </c>
      <c r="D62" s="16">
        <v>20645</v>
      </c>
    </row>
    <row r="63" spans="2:4" x14ac:dyDescent="0.25">
      <c r="B63" s="15"/>
      <c r="C63" s="16">
        <v>20150</v>
      </c>
      <c r="D63" s="16">
        <v>20645</v>
      </c>
    </row>
    <row r="64" spans="2:4" x14ac:dyDescent="0.25">
      <c r="B64" s="15"/>
      <c r="C64" s="16">
        <v>20148</v>
      </c>
      <c r="D64" s="16">
        <v>20644</v>
      </c>
    </row>
    <row r="65" spans="2:4" x14ac:dyDescent="0.25">
      <c r="B65" s="15"/>
      <c r="C65" s="16">
        <v>20148</v>
      </c>
      <c r="D65" s="16">
        <v>20644</v>
      </c>
    </row>
    <row r="66" spans="2:4" x14ac:dyDescent="0.25">
      <c r="B66" s="15"/>
      <c r="C66" s="16">
        <v>20147</v>
      </c>
      <c r="D66" s="16">
        <v>20642</v>
      </c>
    </row>
    <row r="67" spans="2:4" x14ac:dyDescent="0.25">
      <c r="B67" s="15"/>
      <c r="C67" s="16">
        <v>20147</v>
      </c>
      <c r="D67" s="16">
        <v>20642</v>
      </c>
    </row>
    <row r="68" spans="2:4" x14ac:dyDescent="0.25">
      <c r="B68" s="15"/>
      <c r="C68" s="16">
        <v>20147</v>
      </c>
      <c r="D68" s="16">
        <v>20642</v>
      </c>
    </row>
    <row r="69" spans="2:4" x14ac:dyDescent="0.25">
      <c r="B69" s="15"/>
      <c r="C69" s="16">
        <v>20147</v>
      </c>
      <c r="D69" s="16">
        <v>20642</v>
      </c>
    </row>
    <row r="70" spans="2:4" x14ac:dyDescent="0.25">
      <c r="B70" s="15"/>
      <c r="C70" s="16">
        <v>20147</v>
      </c>
      <c r="D70" s="16">
        <v>20643</v>
      </c>
    </row>
    <row r="71" spans="2:4" x14ac:dyDescent="0.25">
      <c r="B71" s="15"/>
      <c r="C71" s="16">
        <v>20147</v>
      </c>
      <c r="D71" s="16">
        <v>20643</v>
      </c>
    </row>
    <row r="72" spans="2:4" x14ac:dyDescent="0.25">
      <c r="B72" s="15" t="s">
        <v>11</v>
      </c>
      <c r="C72" s="13">
        <f>AVERAGE(C3:C71)</f>
        <v>20137.130434782608</v>
      </c>
      <c r="D72" s="13">
        <f>AVERAGE(D3:D71)</f>
        <v>20632.521739130436</v>
      </c>
    </row>
  </sheetData>
  <conditionalFormatting sqref="C3:D71">
    <cfRule type="expression" dxfId="18" priority="1">
      <formula>MOD(ROW(),2)=0</formula>
    </cfRule>
  </conditionalFormatting>
  <pageMargins left="0" right="0" top="0.25" bottom="0.25" header="0" footer="0"/>
  <pageSetup paperSize="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CC27-85E0-46A7-8040-531AE0D8BCF3}">
  <dimension ref="B2:F57"/>
  <sheetViews>
    <sheetView topLeftCell="A39" workbookViewId="0">
      <selection activeCell="K24" sqref="K24"/>
    </sheetView>
  </sheetViews>
  <sheetFormatPr defaultRowHeight="13.8" x14ac:dyDescent="0.25"/>
  <cols>
    <col min="1" max="1" width="4.88671875" style="12" customWidth="1"/>
    <col min="2" max="2" width="8.88671875" style="12"/>
    <col min="3" max="3" width="16.33203125" style="12" customWidth="1"/>
    <col min="4" max="4" width="20" style="12" customWidth="1"/>
    <col min="5" max="6" width="8.88671875" style="12"/>
    <col min="7" max="7" width="6.21875" style="12" customWidth="1"/>
    <col min="8" max="16384" width="8.88671875" style="12"/>
  </cols>
  <sheetData>
    <row r="2" spans="2:6" x14ac:dyDescent="0.25">
      <c r="B2" s="15"/>
      <c r="C2" s="15" t="s">
        <v>13</v>
      </c>
      <c r="D2" s="15" t="s">
        <v>12</v>
      </c>
    </row>
    <row r="3" spans="2:6" x14ac:dyDescent="0.25">
      <c r="B3" s="15"/>
      <c r="C3" s="16">
        <v>19790</v>
      </c>
      <c r="D3" s="16">
        <v>20235</v>
      </c>
      <c r="F3" s="20"/>
    </row>
    <row r="4" spans="2:6" x14ac:dyDescent="0.25">
      <c r="B4" s="15"/>
      <c r="C4" s="16">
        <v>19723</v>
      </c>
      <c r="D4" s="16">
        <v>20238</v>
      </c>
      <c r="F4" s="20"/>
    </row>
    <row r="5" spans="2:6" x14ac:dyDescent="0.25">
      <c r="B5" s="15"/>
      <c r="C5" s="16">
        <v>19725</v>
      </c>
      <c r="D5" s="16">
        <v>20238</v>
      </c>
      <c r="F5" s="20"/>
    </row>
    <row r="6" spans="2:6" x14ac:dyDescent="0.25">
      <c r="B6" s="15"/>
      <c r="C6" s="16">
        <v>19742</v>
      </c>
      <c r="D6" s="16">
        <v>20248</v>
      </c>
      <c r="F6" s="20"/>
    </row>
    <row r="7" spans="2:6" x14ac:dyDescent="0.25">
      <c r="B7" s="15"/>
      <c r="C7" s="16">
        <v>19749</v>
      </c>
      <c r="D7" s="16">
        <v>20246</v>
      </c>
      <c r="F7" s="20"/>
    </row>
    <row r="8" spans="2:6" x14ac:dyDescent="0.25">
      <c r="B8" s="15"/>
      <c r="C8" s="16">
        <v>19751</v>
      </c>
      <c r="D8" s="16">
        <v>20249</v>
      </c>
      <c r="F8" s="20"/>
    </row>
    <row r="9" spans="2:6" x14ac:dyDescent="0.25">
      <c r="B9" s="15"/>
      <c r="C9" s="16">
        <v>19753</v>
      </c>
      <c r="D9" s="16">
        <v>20277</v>
      </c>
      <c r="F9" s="20"/>
    </row>
    <row r="10" spans="2:6" x14ac:dyDescent="0.25">
      <c r="B10" s="15"/>
      <c r="C10" s="16">
        <v>19751</v>
      </c>
      <c r="D10" s="16">
        <v>20277</v>
      </c>
      <c r="F10" s="20"/>
    </row>
    <row r="11" spans="2:6" x14ac:dyDescent="0.25">
      <c r="B11" s="15"/>
      <c r="C11" s="16">
        <v>19749</v>
      </c>
      <c r="D11" s="16">
        <v>20275</v>
      </c>
      <c r="F11" s="20"/>
    </row>
    <row r="12" spans="2:6" x14ac:dyDescent="0.25">
      <c r="B12" s="15"/>
      <c r="C12" s="16">
        <v>19746</v>
      </c>
      <c r="D12" s="16">
        <v>20274</v>
      </c>
      <c r="F12" s="20"/>
    </row>
    <row r="13" spans="2:6" x14ac:dyDescent="0.25">
      <c r="B13" s="15"/>
      <c r="C13" s="16">
        <v>19745</v>
      </c>
      <c r="D13" s="16">
        <v>20271</v>
      </c>
      <c r="F13" s="20"/>
    </row>
    <row r="14" spans="2:6" x14ac:dyDescent="0.25">
      <c r="B14" s="15"/>
      <c r="C14" s="16">
        <v>19743</v>
      </c>
      <c r="D14" s="16">
        <v>20269</v>
      </c>
      <c r="F14" s="20"/>
    </row>
    <row r="15" spans="2:6" x14ac:dyDescent="0.25">
      <c r="B15" s="15"/>
      <c r="C15" s="16">
        <v>19745</v>
      </c>
      <c r="D15" s="16">
        <v>20269</v>
      </c>
      <c r="F15" s="20"/>
    </row>
    <row r="16" spans="2:6" x14ac:dyDescent="0.25">
      <c r="B16" s="15"/>
      <c r="C16" s="16">
        <v>19746</v>
      </c>
      <c r="D16" s="16">
        <v>20269</v>
      </c>
      <c r="F16" s="20"/>
    </row>
    <row r="17" spans="2:6" x14ac:dyDescent="0.25">
      <c r="B17" s="15"/>
      <c r="C17" s="16">
        <v>19746</v>
      </c>
      <c r="D17" s="16">
        <v>20268</v>
      </c>
      <c r="F17" s="20"/>
    </row>
    <row r="18" spans="2:6" x14ac:dyDescent="0.25">
      <c r="B18" s="15"/>
      <c r="C18" s="16">
        <v>19745</v>
      </c>
      <c r="D18" s="16">
        <v>20268</v>
      </c>
      <c r="F18" s="20"/>
    </row>
    <row r="19" spans="2:6" x14ac:dyDescent="0.25">
      <c r="B19" s="15"/>
      <c r="C19" s="16">
        <v>19745</v>
      </c>
      <c r="D19" s="16">
        <v>20266</v>
      </c>
      <c r="F19" s="20"/>
    </row>
    <row r="20" spans="2:6" x14ac:dyDescent="0.25">
      <c r="B20" s="15"/>
      <c r="C20" s="16">
        <v>19746</v>
      </c>
      <c r="D20" s="16">
        <v>20265</v>
      </c>
      <c r="F20" s="20"/>
    </row>
    <row r="21" spans="2:6" x14ac:dyDescent="0.25">
      <c r="B21" s="15"/>
      <c r="C21" s="16">
        <v>19746</v>
      </c>
      <c r="D21" s="16">
        <v>20266</v>
      </c>
      <c r="F21" s="20"/>
    </row>
    <row r="22" spans="2:6" x14ac:dyDescent="0.25">
      <c r="B22" s="15"/>
      <c r="C22" s="16">
        <v>19745</v>
      </c>
      <c r="D22" s="16">
        <v>20264</v>
      </c>
      <c r="F22" s="20"/>
    </row>
    <row r="23" spans="2:6" x14ac:dyDescent="0.25">
      <c r="B23" s="15"/>
      <c r="C23" s="16">
        <v>19743</v>
      </c>
      <c r="D23" s="16">
        <v>20264</v>
      </c>
      <c r="F23" s="20"/>
    </row>
    <row r="24" spans="2:6" x14ac:dyDescent="0.25">
      <c r="B24" s="15"/>
      <c r="C24" s="16">
        <v>19742</v>
      </c>
      <c r="D24" s="16">
        <v>20262</v>
      </c>
      <c r="F24" s="20"/>
    </row>
    <row r="25" spans="2:6" x14ac:dyDescent="0.25">
      <c r="B25" s="15"/>
      <c r="C25" s="16">
        <v>19743</v>
      </c>
      <c r="D25" s="16">
        <v>20262</v>
      </c>
      <c r="F25" s="20"/>
    </row>
    <row r="26" spans="2:6" x14ac:dyDescent="0.25">
      <c r="B26" s="15"/>
      <c r="C26" s="16">
        <v>19742</v>
      </c>
      <c r="D26" s="16">
        <v>20261</v>
      </c>
      <c r="F26" s="20"/>
    </row>
    <row r="27" spans="2:6" x14ac:dyDescent="0.25">
      <c r="B27" s="15"/>
      <c r="C27" s="16">
        <v>19742</v>
      </c>
      <c r="D27" s="16">
        <v>20261</v>
      </c>
      <c r="F27" s="20"/>
    </row>
    <row r="28" spans="2:6" x14ac:dyDescent="0.25">
      <c r="B28" s="15"/>
      <c r="C28" s="16">
        <v>19740</v>
      </c>
      <c r="D28" s="16">
        <v>20259</v>
      </c>
      <c r="F28" s="20"/>
    </row>
    <row r="29" spans="2:6" x14ac:dyDescent="0.25">
      <c r="B29" s="15"/>
      <c r="C29" s="16">
        <v>19740</v>
      </c>
      <c r="D29" s="16">
        <v>20259</v>
      </c>
      <c r="F29" s="20"/>
    </row>
    <row r="30" spans="2:6" x14ac:dyDescent="0.25">
      <c r="B30" s="15"/>
      <c r="C30" s="16">
        <v>19739</v>
      </c>
      <c r="D30" s="16">
        <v>20258</v>
      </c>
      <c r="F30" s="20"/>
    </row>
    <row r="31" spans="2:6" x14ac:dyDescent="0.25">
      <c r="B31" s="15"/>
      <c r="C31" s="16">
        <v>19740</v>
      </c>
      <c r="D31" s="16">
        <v>20257</v>
      </c>
      <c r="F31" s="20"/>
    </row>
    <row r="32" spans="2:6" x14ac:dyDescent="0.25">
      <c r="B32" s="15"/>
      <c r="C32" s="16">
        <v>19740</v>
      </c>
      <c r="D32" s="16">
        <v>20257</v>
      </c>
      <c r="F32" s="20"/>
    </row>
    <row r="33" spans="2:6" x14ac:dyDescent="0.25">
      <c r="B33" s="15"/>
      <c r="C33" s="16">
        <v>19739</v>
      </c>
      <c r="D33" s="16">
        <v>20257</v>
      </c>
      <c r="F33" s="20"/>
    </row>
    <row r="34" spans="2:6" x14ac:dyDescent="0.25">
      <c r="B34" s="15"/>
      <c r="C34" s="16">
        <v>19740</v>
      </c>
      <c r="D34" s="16">
        <v>20257</v>
      </c>
      <c r="F34" s="20"/>
    </row>
    <row r="35" spans="2:6" x14ac:dyDescent="0.25">
      <c r="B35" s="15"/>
      <c r="C35" s="16">
        <v>19739</v>
      </c>
      <c r="D35" s="16">
        <v>20255</v>
      </c>
      <c r="F35" s="20"/>
    </row>
    <row r="36" spans="2:6" x14ac:dyDescent="0.25">
      <c r="B36" s="15"/>
      <c r="C36" s="16">
        <v>19865</v>
      </c>
      <c r="D36" s="16">
        <v>20332</v>
      </c>
      <c r="F36" s="20"/>
    </row>
    <row r="37" spans="2:6" x14ac:dyDescent="0.25">
      <c r="B37" s="15"/>
      <c r="C37" s="16">
        <v>19899</v>
      </c>
      <c r="D37" s="16">
        <v>20335</v>
      </c>
      <c r="F37" s="20"/>
    </row>
    <row r="38" spans="2:6" x14ac:dyDescent="0.25">
      <c r="B38" s="15"/>
      <c r="C38" s="16">
        <v>19813</v>
      </c>
      <c r="D38" s="16">
        <v>20339</v>
      </c>
      <c r="F38" s="20"/>
    </row>
    <row r="39" spans="2:6" x14ac:dyDescent="0.25">
      <c r="B39" s="15"/>
      <c r="C39" s="16">
        <v>19817</v>
      </c>
      <c r="D39" s="16">
        <v>20344</v>
      </c>
      <c r="F39" s="20"/>
    </row>
    <row r="40" spans="2:6" x14ac:dyDescent="0.25">
      <c r="B40" s="15"/>
      <c r="C40" s="16">
        <v>19822</v>
      </c>
      <c r="D40" s="16">
        <v>20348</v>
      </c>
      <c r="F40" s="20"/>
    </row>
    <row r="41" spans="2:6" x14ac:dyDescent="0.25">
      <c r="B41" s="15"/>
      <c r="C41" s="16">
        <v>19826</v>
      </c>
      <c r="D41" s="16">
        <v>20352</v>
      </c>
      <c r="F41" s="20"/>
    </row>
    <row r="42" spans="2:6" x14ac:dyDescent="0.25">
      <c r="B42" s="15"/>
      <c r="C42" s="16">
        <v>19829</v>
      </c>
      <c r="D42" s="16">
        <v>20355</v>
      </c>
      <c r="F42" s="20"/>
    </row>
    <row r="43" spans="2:6" x14ac:dyDescent="0.25">
      <c r="B43" s="15"/>
      <c r="C43" s="16">
        <v>19834</v>
      </c>
      <c r="D43" s="16">
        <v>20366</v>
      </c>
      <c r="F43" s="20"/>
    </row>
    <row r="44" spans="2:6" x14ac:dyDescent="0.25">
      <c r="B44" s="15"/>
      <c r="C44" s="16">
        <v>19835</v>
      </c>
      <c r="D44" s="16">
        <v>20361</v>
      </c>
      <c r="F44" s="20"/>
    </row>
    <row r="45" spans="2:6" x14ac:dyDescent="0.25">
      <c r="B45" s="15"/>
      <c r="C45" s="16">
        <v>19834</v>
      </c>
      <c r="D45" s="16">
        <v>20366</v>
      </c>
      <c r="F45" s="20"/>
    </row>
    <row r="46" spans="2:6" x14ac:dyDescent="0.25">
      <c r="B46" s="15"/>
      <c r="C46" s="16">
        <v>19829</v>
      </c>
      <c r="D46" s="16">
        <v>20355</v>
      </c>
      <c r="F46" s="20"/>
    </row>
    <row r="47" spans="2:6" x14ac:dyDescent="0.25">
      <c r="B47" s="15"/>
      <c r="C47" s="16">
        <v>19824</v>
      </c>
      <c r="D47" s="16">
        <v>20358</v>
      </c>
      <c r="F47" s="20"/>
    </row>
    <row r="48" spans="2:6" x14ac:dyDescent="0.25">
      <c r="B48" s="15"/>
      <c r="C48" s="16">
        <v>19826</v>
      </c>
      <c r="D48" s="16">
        <v>20359</v>
      </c>
      <c r="F48" s="20"/>
    </row>
    <row r="49" spans="2:6" x14ac:dyDescent="0.25">
      <c r="B49" s="15"/>
      <c r="C49" s="16">
        <v>19813</v>
      </c>
      <c r="D49" s="16">
        <v>20339</v>
      </c>
      <c r="F49" s="20"/>
    </row>
    <row r="50" spans="2:6" x14ac:dyDescent="0.25">
      <c r="B50" s="15"/>
      <c r="C50" s="16">
        <v>19803</v>
      </c>
      <c r="D50" s="16">
        <v>20332</v>
      </c>
      <c r="F50" s="20"/>
    </row>
    <row r="51" spans="2:6" x14ac:dyDescent="0.25">
      <c r="B51" s="15"/>
      <c r="C51" s="16">
        <v>19800</v>
      </c>
      <c r="D51" s="16">
        <v>20328</v>
      </c>
      <c r="F51" s="20"/>
    </row>
    <row r="52" spans="2:6" x14ac:dyDescent="0.25">
      <c r="B52" s="15"/>
      <c r="C52" s="16">
        <v>19798</v>
      </c>
      <c r="D52" s="16">
        <v>20326</v>
      </c>
      <c r="F52" s="20"/>
    </row>
    <row r="53" spans="2:6" x14ac:dyDescent="0.25">
      <c r="B53" s="15"/>
      <c r="C53" s="16">
        <v>19804</v>
      </c>
      <c r="D53" s="16">
        <v>20325</v>
      </c>
      <c r="F53" s="20"/>
    </row>
    <row r="54" spans="2:6" x14ac:dyDescent="0.25">
      <c r="B54" s="15"/>
      <c r="C54" s="16">
        <v>19803</v>
      </c>
      <c r="D54" s="16">
        <v>20323</v>
      </c>
      <c r="F54" s="20"/>
    </row>
    <row r="55" spans="2:6" x14ac:dyDescent="0.25">
      <c r="B55" s="15"/>
      <c r="C55" s="16">
        <v>19801</v>
      </c>
      <c r="D55" s="16">
        <v>20321</v>
      </c>
      <c r="F55" s="20"/>
    </row>
    <row r="56" spans="2:6" x14ac:dyDescent="0.25">
      <c r="B56" s="15"/>
      <c r="C56" s="16">
        <v>19798</v>
      </c>
      <c r="D56" s="16">
        <v>20325</v>
      </c>
      <c r="F56" s="20"/>
    </row>
    <row r="57" spans="2:6" x14ac:dyDescent="0.25">
      <c r="B57" s="15" t="s">
        <v>11</v>
      </c>
      <c r="C57" s="13">
        <f>AVERAGE(C3:C56)</f>
        <v>19774.685185185186</v>
      </c>
      <c r="D57" s="13">
        <f>AVERAGE(D3:D56)</f>
        <v>20292.407407407409</v>
      </c>
    </row>
  </sheetData>
  <conditionalFormatting sqref="C3:D56">
    <cfRule type="expression" dxfId="19" priority="1">
      <formula>MOD(ROW(),2)=0</formula>
    </cfRule>
  </conditionalFormatting>
  <pageMargins left="0" right="0" top="0.25" bottom="0.25" header="0" footer="0"/>
  <pageSetup paperSize="5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17FB-3273-48F8-BABA-CD382AFB1E31}">
  <dimension ref="A1"/>
  <sheetViews>
    <sheetView workbookViewId="0">
      <selection activeCell="K24" sqref="K24"/>
    </sheetView>
  </sheetViews>
  <sheetFormatPr defaultRowHeight="13.2" x14ac:dyDescent="0.25"/>
  <cols>
    <col min="1" max="1" width="4.88671875" customWidth="1"/>
    <col min="7" max="7" width="6.21875" customWidth="1"/>
  </cols>
  <sheetData/>
  <pageMargins left="0" right="0" top="0.25" bottom="0.25" header="0" footer="0"/>
  <pageSetup paperSize="5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1020-7DAD-4284-AC06-5151B9DC2709}">
  <sheetPr>
    <outlinePr summaryBelow="0" summaryRight="0"/>
  </sheetPr>
  <dimension ref="A2:F15"/>
  <sheetViews>
    <sheetView workbookViewId="0">
      <selection activeCell="K24" sqref="K24"/>
    </sheetView>
  </sheetViews>
  <sheetFormatPr defaultColWidth="12.5546875" defaultRowHeight="15.75" customHeight="1" x14ac:dyDescent="0.25"/>
  <cols>
    <col min="1" max="1" width="2.6640625" customWidth="1"/>
    <col min="2" max="2" width="7.44140625" customWidth="1"/>
    <col min="3" max="3" width="21" customWidth="1"/>
    <col min="4" max="4" width="22.6640625" customWidth="1"/>
    <col min="5" max="5" width="20.5546875" customWidth="1"/>
    <col min="6" max="6" width="18.88671875" customWidth="1"/>
    <col min="7" max="7" width="6.21875" customWidth="1"/>
  </cols>
  <sheetData>
    <row r="2" spans="1:6" ht="15.75" customHeight="1" x14ac:dyDescent="0.25">
      <c r="C2" s="4" t="s">
        <v>14</v>
      </c>
      <c r="D2" s="1" t="s">
        <v>15</v>
      </c>
    </row>
    <row r="3" spans="1:6" ht="15.75" customHeight="1" x14ac:dyDescent="0.25">
      <c r="C3" s="4" t="s">
        <v>16</v>
      </c>
      <c r="D3" s="1">
        <v>20</v>
      </c>
    </row>
    <row r="4" spans="1:6" ht="15.75" customHeight="1" x14ac:dyDescent="0.25">
      <c r="C4" s="4" t="s">
        <v>17</v>
      </c>
      <c r="D4" s="1" t="s">
        <v>18</v>
      </c>
    </row>
    <row r="6" spans="1:6" ht="15.75" customHeight="1" x14ac:dyDescent="0.25">
      <c r="A6" s="6"/>
      <c r="B6" s="21" t="s">
        <v>19</v>
      </c>
      <c r="C6" s="21" t="s">
        <v>20</v>
      </c>
      <c r="D6" s="21" t="s">
        <v>21</v>
      </c>
      <c r="E6" s="21" t="s">
        <v>22</v>
      </c>
      <c r="F6" s="21" t="s">
        <v>23</v>
      </c>
    </row>
    <row r="7" spans="1:6" ht="15.75" customHeight="1" x14ac:dyDescent="0.25">
      <c r="B7" s="22">
        <v>1</v>
      </c>
      <c r="C7" s="1">
        <v>2.0699999999999998</v>
      </c>
      <c r="D7" s="1">
        <v>3.3000000000000002E-2</v>
      </c>
      <c r="E7" s="1">
        <v>1.6E-2</v>
      </c>
      <c r="F7" s="1">
        <v>0.14599999999999999</v>
      </c>
    </row>
    <row r="8" spans="1:6" ht="15.75" customHeight="1" x14ac:dyDescent="0.25">
      <c r="B8" s="22">
        <v>2</v>
      </c>
      <c r="C8" s="1">
        <v>7.76</v>
      </c>
      <c r="D8" s="1">
        <v>0.14699999999999999</v>
      </c>
      <c r="E8" s="1">
        <v>7.0000000000000007E-2</v>
      </c>
      <c r="F8" s="1">
        <v>0.65600000000000003</v>
      </c>
    </row>
    <row r="9" spans="1:6" ht="15.75" customHeight="1" x14ac:dyDescent="0.25">
      <c r="B9" s="22">
        <v>3</v>
      </c>
      <c r="C9" s="1">
        <v>5.71</v>
      </c>
      <c r="D9" s="1">
        <v>0.11799999999999999</v>
      </c>
      <c r="E9" s="1">
        <v>4.9000000000000002E-2</v>
      </c>
      <c r="F9" s="1">
        <v>0.52</v>
      </c>
    </row>
    <row r="10" spans="1:6" ht="15.75" customHeight="1" x14ac:dyDescent="0.25">
      <c r="B10" s="22">
        <v>4</v>
      </c>
      <c r="C10" s="1">
        <v>5.97</v>
      </c>
      <c r="D10" s="1">
        <v>0.123</v>
      </c>
      <c r="E10" s="1">
        <v>4.9000000000000002E-2</v>
      </c>
      <c r="F10" s="1">
        <v>0.54</v>
      </c>
    </row>
    <row r="11" spans="1:6" ht="15.75" customHeight="1" x14ac:dyDescent="0.25">
      <c r="B11" s="22">
        <v>5</v>
      </c>
      <c r="C11" s="1">
        <v>5.25</v>
      </c>
      <c r="D11" s="1">
        <v>0.114</v>
      </c>
      <c r="E11" s="1">
        <v>4.2999999999999997E-2</v>
      </c>
      <c r="F11" s="1">
        <v>0.497</v>
      </c>
    </row>
    <row r="12" spans="1:6" ht="15.75" customHeight="1" x14ac:dyDescent="0.25">
      <c r="B12" s="22">
        <v>6</v>
      </c>
      <c r="C12" s="1">
        <v>4.7</v>
      </c>
      <c r="D12" s="1">
        <v>0.11</v>
      </c>
      <c r="E12" s="1">
        <v>3.7999999999999999E-2</v>
      </c>
      <c r="F12" s="1">
        <v>0.47499999999999998</v>
      </c>
    </row>
    <row r="13" spans="1:6" ht="15.75" customHeight="1" x14ac:dyDescent="0.25">
      <c r="B13" s="6"/>
    </row>
    <row r="14" spans="1:6" ht="15.75" customHeight="1" x14ac:dyDescent="0.25">
      <c r="B14" s="23" t="s">
        <v>24</v>
      </c>
      <c r="C14" s="1">
        <f t="shared" ref="C14:F14" si="0">SUM(C7:C12)</f>
        <v>31.459999999999997</v>
      </c>
      <c r="D14" s="1">
        <f t="shared" si="0"/>
        <v>0.64500000000000002</v>
      </c>
      <c r="E14" s="1">
        <f t="shared" si="0"/>
        <v>0.26499999999999996</v>
      </c>
      <c r="F14" s="24">
        <f t="shared" si="0"/>
        <v>2.8340000000000001</v>
      </c>
    </row>
    <row r="15" spans="1:6" ht="15.75" customHeight="1" x14ac:dyDescent="0.25">
      <c r="B15" s="23" t="s">
        <v>25</v>
      </c>
      <c r="C15" s="25">
        <f t="shared" ref="C15:F15" si="1">AVERAGE(C7:C12)</f>
        <v>5.2433333333333332</v>
      </c>
      <c r="D15" s="1">
        <f t="shared" si="1"/>
        <v>0.1075</v>
      </c>
      <c r="E15" s="25">
        <f t="shared" si="1"/>
        <v>4.416666666666666E-2</v>
      </c>
      <c r="F15" s="25">
        <f t="shared" si="1"/>
        <v>0.47233333333333333</v>
      </c>
    </row>
  </sheetData>
  <dataValidations count="1">
    <dataValidation type="list" allowBlank="1" showErrorMessage="1" sqref="D4" xr:uid="{FE147BEB-5E6F-4E62-A09E-8BDA7B9038B0}">
      <formula1>"Laki-Laki,Perempuan"</formula1>
    </dataValidation>
  </dataValidations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5455-AA6E-42CD-9F9D-C1E0DE798C1F}">
  <sheetPr>
    <outlinePr summaryBelow="0" summaryRight="0"/>
  </sheetPr>
  <dimension ref="A2:F15"/>
  <sheetViews>
    <sheetView workbookViewId="0">
      <selection activeCell="K24" sqref="K24"/>
    </sheetView>
  </sheetViews>
  <sheetFormatPr defaultColWidth="12.5546875" defaultRowHeight="15.75" customHeight="1" x14ac:dyDescent="0.25"/>
  <cols>
    <col min="1" max="1" width="2.88671875" customWidth="1"/>
    <col min="2" max="2" width="7.44140625" customWidth="1"/>
    <col min="3" max="3" width="21" customWidth="1"/>
    <col min="4" max="4" width="22.6640625" customWidth="1"/>
    <col min="5" max="5" width="20.5546875" customWidth="1"/>
    <col min="6" max="6" width="18.88671875" customWidth="1"/>
    <col min="7" max="7" width="6.21875" customWidth="1"/>
  </cols>
  <sheetData>
    <row r="2" spans="1:6" ht="15.75" customHeight="1" x14ac:dyDescent="0.25">
      <c r="C2" s="4" t="s">
        <v>14</v>
      </c>
      <c r="D2" s="1" t="s">
        <v>15</v>
      </c>
    </row>
    <row r="3" spans="1:6" ht="15.75" customHeight="1" x14ac:dyDescent="0.25">
      <c r="C3" s="4" t="s">
        <v>16</v>
      </c>
      <c r="D3" s="1">
        <v>20</v>
      </c>
    </row>
    <row r="4" spans="1:6" ht="15.75" customHeight="1" x14ac:dyDescent="0.25">
      <c r="C4" s="4" t="s">
        <v>17</v>
      </c>
      <c r="D4" s="1" t="s">
        <v>18</v>
      </c>
    </row>
    <row r="6" spans="1:6" ht="15.75" customHeight="1" x14ac:dyDescent="0.25">
      <c r="A6" s="6"/>
      <c r="B6" s="21" t="s">
        <v>19</v>
      </c>
      <c r="C6" s="21" t="s">
        <v>20</v>
      </c>
      <c r="D6" s="21" t="s">
        <v>21</v>
      </c>
      <c r="E6" s="21" t="s">
        <v>22</v>
      </c>
      <c r="F6" s="21" t="s">
        <v>23</v>
      </c>
    </row>
    <row r="7" spans="1:6" ht="15.75" customHeight="1" x14ac:dyDescent="0.25">
      <c r="B7" s="22">
        <v>1</v>
      </c>
      <c r="C7" s="1">
        <v>4.24</v>
      </c>
      <c r="D7" s="1">
        <v>0.121</v>
      </c>
      <c r="E7" s="1">
        <v>4.2999999999999997E-2</v>
      </c>
      <c r="F7" s="1">
        <v>0.52500000000000002</v>
      </c>
    </row>
    <row r="8" spans="1:6" ht="15.75" customHeight="1" x14ac:dyDescent="0.25">
      <c r="B8" s="22">
        <v>2</v>
      </c>
      <c r="C8" s="1">
        <v>3.94</v>
      </c>
      <c r="D8" s="1">
        <v>0.13700000000000001</v>
      </c>
      <c r="E8" s="1">
        <v>3.5999999999999997E-2</v>
      </c>
      <c r="F8" s="1">
        <v>0.58099999999999996</v>
      </c>
    </row>
    <row r="9" spans="1:6" ht="15.75" customHeight="1" x14ac:dyDescent="0.25">
      <c r="B9" s="22">
        <v>3</v>
      </c>
      <c r="C9" s="1">
        <v>4.37</v>
      </c>
      <c r="D9" s="1">
        <v>0.14099999999999999</v>
      </c>
      <c r="E9" s="1">
        <v>4.3999999999999997E-2</v>
      </c>
      <c r="F9" s="1">
        <v>0.60299999999999998</v>
      </c>
    </row>
    <row r="10" spans="1:6" ht="15.75" customHeight="1" x14ac:dyDescent="0.25">
      <c r="B10" s="22">
        <v>4</v>
      </c>
      <c r="C10" s="1">
        <v>4.71</v>
      </c>
      <c r="D10" s="1">
        <v>0.16400000000000001</v>
      </c>
      <c r="E10" s="1">
        <v>4.7E-2</v>
      </c>
      <c r="F10" s="1">
        <v>0.60899999999999999</v>
      </c>
    </row>
    <row r="11" spans="1:6" ht="15.75" customHeight="1" x14ac:dyDescent="0.25">
      <c r="B11" s="22">
        <v>5</v>
      </c>
      <c r="C11" s="1">
        <v>3.38</v>
      </c>
      <c r="D11" s="1">
        <v>0.11799999999999999</v>
      </c>
      <c r="E11" s="1">
        <v>3.5000000000000003E-2</v>
      </c>
      <c r="F11" s="1">
        <v>0.502</v>
      </c>
    </row>
    <row r="12" spans="1:6" ht="15.75" customHeight="1" x14ac:dyDescent="0.25">
      <c r="B12" s="22">
        <v>6</v>
      </c>
      <c r="C12" s="1">
        <v>5.21</v>
      </c>
      <c r="D12" s="1">
        <v>0.16500000000000001</v>
      </c>
      <c r="E12" s="1">
        <v>5.5E-2</v>
      </c>
      <c r="F12" s="1">
        <v>0.70899999999999996</v>
      </c>
    </row>
    <row r="13" spans="1:6" ht="15.75" customHeight="1" x14ac:dyDescent="0.25">
      <c r="B13" s="6"/>
    </row>
    <row r="14" spans="1:6" ht="15.75" customHeight="1" x14ac:dyDescent="0.25">
      <c r="B14" s="23" t="s">
        <v>24</v>
      </c>
      <c r="C14" s="1">
        <f t="shared" ref="C14:F14" si="0">SUM(C7:C12)</f>
        <v>25.85</v>
      </c>
      <c r="D14" s="1">
        <f t="shared" si="0"/>
        <v>0.84600000000000009</v>
      </c>
      <c r="E14" s="1">
        <f t="shared" si="0"/>
        <v>0.26</v>
      </c>
      <c r="F14" s="24">
        <f t="shared" si="0"/>
        <v>3.5289999999999995</v>
      </c>
    </row>
    <row r="15" spans="1:6" ht="15.75" customHeight="1" x14ac:dyDescent="0.25">
      <c r="B15" s="23" t="s">
        <v>25</v>
      </c>
      <c r="C15" s="25">
        <f t="shared" ref="C15:F15" si="1">AVERAGE(C7:C12)</f>
        <v>4.3083333333333336</v>
      </c>
      <c r="D15" s="1">
        <f t="shared" si="1"/>
        <v>0.14100000000000001</v>
      </c>
      <c r="E15" s="25">
        <f t="shared" si="1"/>
        <v>4.3333333333333335E-2</v>
      </c>
      <c r="F15" s="25">
        <f t="shared" si="1"/>
        <v>0.58816666666666662</v>
      </c>
    </row>
  </sheetData>
  <dataValidations count="1">
    <dataValidation type="list" allowBlank="1" showErrorMessage="1" sqref="D4" xr:uid="{BA9BDA93-8F37-4D26-B128-F6BD91898B17}">
      <formula1>"Laki-Laki,Perempuan"</formula1>
    </dataValidation>
  </dataValidations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962F0-371C-4A27-9178-A495022DD866}">
  <sheetPr>
    <outlinePr summaryBelow="0" summaryRight="0"/>
  </sheetPr>
  <dimension ref="A2:F15"/>
  <sheetViews>
    <sheetView workbookViewId="0">
      <selection activeCell="K24" sqref="K24"/>
    </sheetView>
  </sheetViews>
  <sheetFormatPr defaultColWidth="12.5546875" defaultRowHeight="15.75" customHeight="1" x14ac:dyDescent="0.25"/>
  <cols>
    <col min="1" max="1" width="2.6640625" customWidth="1"/>
    <col min="2" max="2" width="7.44140625" customWidth="1"/>
    <col min="3" max="3" width="21" customWidth="1"/>
    <col min="4" max="4" width="22.6640625" customWidth="1"/>
    <col min="5" max="5" width="20.5546875" customWidth="1"/>
    <col min="6" max="6" width="18.88671875" customWidth="1"/>
    <col min="7" max="7" width="6.21875" customWidth="1"/>
  </cols>
  <sheetData>
    <row r="2" spans="1:6" ht="15.75" customHeight="1" x14ac:dyDescent="0.25">
      <c r="C2" s="4" t="s">
        <v>14</v>
      </c>
      <c r="D2" s="1" t="s">
        <v>15</v>
      </c>
    </row>
    <row r="3" spans="1:6" ht="15.75" customHeight="1" x14ac:dyDescent="0.25">
      <c r="C3" s="4" t="s">
        <v>16</v>
      </c>
      <c r="D3" s="1">
        <v>20</v>
      </c>
    </row>
    <row r="4" spans="1:6" ht="15.75" customHeight="1" x14ac:dyDescent="0.25">
      <c r="C4" s="4" t="s">
        <v>17</v>
      </c>
      <c r="D4" s="1" t="s">
        <v>18</v>
      </c>
    </row>
    <row r="6" spans="1:6" ht="15.75" customHeight="1" x14ac:dyDescent="0.25">
      <c r="A6" s="6"/>
      <c r="B6" s="21" t="s">
        <v>19</v>
      </c>
      <c r="C6" s="21" t="s">
        <v>20</v>
      </c>
      <c r="D6" s="21" t="s">
        <v>21</v>
      </c>
      <c r="E6" s="21" t="s">
        <v>22</v>
      </c>
      <c r="F6" s="21" t="s">
        <v>23</v>
      </c>
    </row>
    <row r="7" spans="1:6" ht="15.75" customHeight="1" x14ac:dyDescent="0.25">
      <c r="B7" s="22">
        <v>1</v>
      </c>
      <c r="C7" s="1">
        <v>3.26</v>
      </c>
      <c r="D7" s="1">
        <v>0.13600000000000001</v>
      </c>
      <c r="E7" s="1">
        <v>3.4000000000000002E-2</v>
      </c>
      <c r="F7" s="1">
        <v>0.57599999999999996</v>
      </c>
    </row>
    <row r="8" spans="1:6" ht="15.75" customHeight="1" x14ac:dyDescent="0.25">
      <c r="B8" s="22">
        <v>2</v>
      </c>
      <c r="C8" s="1">
        <v>2.4700000000000002</v>
      </c>
      <c r="D8" s="1">
        <v>0.104</v>
      </c>
      <c r="E8" s="1">
        <v>2.5999999999999999E-2</v>
      </c>
      <c r="F8" s="1">
        <v>0.438</v>
      </c>
    </row>
    <row r="9" spans="1:6" ht="15.75" customHeight="1" x14ac:dyDescent="0.25">
      <c r="B9" s="22">
        <v>3</v>
      </c>
      <c r="C9" s="1">
        <v>1.61</v>
      </c>
      <c r="D9" s="1">
        <v>6.9000000000000006E-2</v>
      </c>
      <c r="E9" s="1">
        <v>1.7000000000000001E-2</v>
      </c>
      <c r="F9" s="1">
        <v>0.29099999999999998</v>
      </c>
    </row>
    <row r="10" spans="1:6" ht="15.75" customHeight="1" x14ac:dyDescent="0.25">
      <c r="B10" s="22">
        <v>4</v>
      </c>
      <c r="C10" s="1">
        <v>2.81</v>
      </c>
      <c r="D10" s="1">
        <v>0.129</v>
      </c>
      <c r="E10" s="1">
        <v>2.9000000000000001E-2</v>
      </c>
      <c r="F10" s="1">
        <v>0.54300000000000004</v>
      </c>
    </row>
    <row r="11" spans="1:6" ht="15.75" customHeight="1" x14ac:dyDescent="0.25">
      <c r="B11" s="22">
        <v>5</v>
      </c>
      <c r="C11" s="1">
        <v>2.09</v>
      </c>
      <c r="D11" s="1">
        <v>8.6999999999999994E-2</v>
      </c>
      <c r="E11" s="1">
        <v>2.1999999999999999E-2</v>
      </c>
      <c r="F11" s="1">
        <v>0.36899999999999999</v>
      </c>
    </row>
    <row r="12" spans="1:6" ht="15.75" customHeight="1" x14ac:dyDescent="0.25">
      <c r="B12" s="22">
        <v>6</v>
      </c>
      <c r="C12" s="1">
        <v>3.38</v>
      </c>
      <c r="D12" s="1">
        <v>0.11799999999999999</v>
      </c>
      <c r="E12" s="1">
        <v>3.5000000000000003E-2</v>
      </c>
      <c r="F12" s="1">
        <v>0.502</v>
      </c>
    </row>
    <row r="13" spans="1:6" ht="15.75" customHeight="1" x14ac:dyDescent="0.25">
      <c r="B13" s="6"/>
    </row>
    <row r="14" spans="1:6" ht="15.75" customHeight="1" x14ac:dyDescent="0.25">
      <c r="B14" s="23" t="s">
        <v>24</v>
      </c>
      <c r="C14" s="1">
        <f t="shared" ref="C14:F14" si="0">SUM(C7:C12)</f>
        <v>15.620000000000001</v>
      </c>
      <c r="D14" s="1">
        <f t="shared" si="0"/>
        <v>0.64300000000000002</v>
      </c>
      <c r="E14" s="1">
        <f t="shared" si="0"/>
        <v>0.16300000000000001</v>
      </c>
      <c r="F14" s="24">
        <f t="shared" si="0"/>
        <v>2.7189999999999994</v>
      </c>
    </row>
    <row r="15" spans="1:6" ht="15.75" customHeight="1" x14ac:dyDescent="0.25">
      <c r="B15" s="23" t="s">
        <v>25</v>
      </c>
      <c r="C15" s="25">
        <f t="shared" ref="C15:F15" si="1">AVERAGE(C7:C12)</f>
        <v>2.6033333333333335</v>
      </c>
      <c r="D15" s="1">
        <f t="shared" si="1"/>
        <v>0.10716666666666667</v>
      </c>
      <c r="E15" s="25">
        <f t="shared" si="1"/>
        <v>2.7166666666666669E-2</v>
      </c>
      <c r="F15" s="25">
        <f t="shared" si="1"/>
        <v>0.45316666666666655</v>
      </c>
    </row>
  </sheetData>
  <dataValidations count="1">
    <dataValidation type="list" allowBlank="1" showErrorMessage="1" sqref="D4" xr:uid="{FBCEA0F9-164D-45FD-B139-4A906AC3BD8D}">
      <formula1>"Laki-Laki,Perempuan"</formula1>
    </dataValidation>
  </dataValidations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4E89-2F86-40D8-87DB-10F0E8D4203B}">
  <sheetPr>
    <outlinePr summaryBelow="0" summaryRight="0"/>
  </sheetPr>
  <dimension ref="A2:G27"/>
  <sheetViews>
    <sheetView workbookViewId="0">
      <selection activeCell="G27" sqref="G27"/>
    </sheetView>
  </sheetViews>
  <sheetFormatPr defaultColWidth="12.5546875" defaultRowHeight="15.75" customHeight="1" x14ac:dyDescent="0.25"/>
  <cols>
    <col min="1" max="1" width="2.6640625" customWidth="1"/>
    <col min="2" max="2" width="7.44140625" customWidth="1"/>
    <col min="3" max="3" width="21" customWidth="1"/>
    <col min="4" max="4" width="22.6640625" customWidth="1"/>
    <col min="5" max="5" width="20.5546875" customWidth="1"/>
    <col min="6" max="6" width="18.88671875" customWidth="1"/>
    <col min="7" max="7" width="6.21875" customWidth="1"/>
  </cols>
  <sheetData>
    <row r="2" spans="1:6" ht="15.75" customHeight="1" x14ac:dyDescent="0.25">
      <c r="C2" s="4" t="s">
        <v>14</v>
      </c>
      <c r="D2" s="1" t="s">
        <v>15</v>
      </c>
    </row>
    <row r="3" spans="1:6" ht="15.75" customHeight="1" x14ac:dyDescent="0.25">
      <c r="C3" s="4" t="s">
        <v>16</v>
      </c>
      <c r="D3" s="1">
        <v>20</v>
      </c>
    </row>
    <row r="4" spans="1:6" ht="15.75" customHeight="1" x14ac:dyDescent="0.25">
      <c r="C4" s="4" t="s">
        <v>17</v>
      </c>
      <c r="D4" s="1" t="s">
        <v>18</v>
      </c>
    </row>
    <row r="6" spans="1:6" ht="15.75" customHeight="1" x14ac:dyDescent="0.25">
      <c r="A6" s="6"/>
      <c r="B6" s="21" t="s">
        <v>19</v>
      </c>
      <c r="C6" s="21" t="s">
        <v>20</v>
      </c>
      <c r="D6" s="21" t="s">
        <v>21</v>
      </c>
      <c r="E6" s="21" t="s">
        <v>22</v>
      </c>
      <c r="F6" s="21" t="s">
        <v>23</v>
      </c>
    </row>
    <row r="7" spans="1:6" ht="15.75" customHeight="1" x14ac:dyDescent="0.25">
      <c r="B7" s="22">
        <v>1</v>
      </c>
      <c r="C7" s="1">
        <v>5.03</v>
      </c>
      <c r="D7" s="1">
        <v>0.20499999999999999</v>
      </c>
      <c r="E7" s="1">
        <v>5.2999999999999999E-2</v>
      </c>
      <c r="F7" s="1">
        <v>0.86799999999999999</v>
      </c>
    </row>
    <row r="8" spans="1:6" ht="15.75" customHeight="1" x14ac:dyDescent="0.25">
      <c r="B8" s="22">
        <v>2</v>
      </c>
      <c r="C8" s="1">
        <v>4.78</v>
      </c>
      <c r="D8" s="1">
        <v>0.25600000000000001</v>
      </c>
      <c r="E8" s="1">
        <v>0.05</v>
      </c>
      <c r="F8" s="1">
        <v>1.0580000000000001</v>
      </c>
    </row>
    <row r="9" spans="1:6" ht="15.75" customHeight="1" x14ac:dyDescent="0.25">
      <c r="B9" s="22">
        <v>3</v>
      </c>
      <c r="C9" s="1">
        <v>5.23</v>
      </c>
      <c r="D9" s="1">
        <v>0.26</v>
      </c>
      <c r="E9" s="1">
        <v>5.5E-2</v>
      </c>
      <c r="F9" s="1">
        <v>1.0840000000000001</v>
      </c>
    </row>
    <row r="10" spans="1:6" ht="15.75" customHeight="1" x14ac:dyDescent="0.25">
      <c r="B10" s="22">
        <v>4</v>
      </c>
      <c r="C10" s="1">
        <v>5.63</v>
      </c>
      <c r="D10" s="1">
        <v>0.25800000000000001</v>
      </c>
      <c r="E10" s="1">
        <v>5.8999999999999997E-2</v>
      </c>
      <c r="F10" s="1">
        <v>1.0840000000000001</v>
      </c>
    </row>
    <row r="11" spans="1:6" ht="15.75" customHeight="1" x14ac:dyDescent="0.25">
      <c r="B11" s="22">
        <v>5</v>
      </c>
      <c r="C11" s="1">
        <v>5.3</v>
      </c>
      <c r="D11" s="1">
        <v>0.23899999999999999</v>
      </c>
      <c r="E11" s="1">
        <v>5.6000000000000001E-2</v>
      </c>
      <c r="F11" s="1">
        <v>1.004</v>
      </c>
    </row>
    <row r="12" spans="1:6" ht="15.75" customHeight="1" x14ac:dyDescent="0.25">
      <c r="B12" s="22">
        <v>6</v>
      </c>
      <c r="C12" s="1">
        <v>4.21</v>
      </c>
      <c r="D12" s="1">
        <v>0.218</v>
      </c>
      <c r="E12" s="1">
        <v>4.3999999999999997E-2</v>
      </c>
      <c r="F12" s="1">
        <v>0.90700000000000003</v>
      </c>
    </row>
    <row r="13" spans="1:6" ht="15.75" customHeight="1" x14ac:dyDescent="0.25">
      <c r="B13" s="6"/>
    </row>
    <row r="14" spans="1:6" ht="15.75" customHeight="1" x14ac:dyDescent="0.25">
      <c r="B14" s="23" t="s">
        <v>24</v>
      </c>
      <c r="C14" s="1">
        <f t="shared" ref="C14:F14" si="0">SUM(C7:C12)</f>
        <v>30.180000000000003</v>
      </c>
      <c r="D14" s="1">
        <f t="shared" si="0"/>
        <v>1.4359999999999999</v>
      </c>
      <c r="E14" s="1">
        <f t="shared" si="0"/>
        <v>0.317</v>
      </c>
      <c r="F14" s="24">
        <f t="shared" si="0"/>
        <v>6.0050000000000008</v>
      </c>
    </row>
    <row r="15" spans="1:6" ht="15.75" customHeight="1" x14ac:dyDescent="0.25">
      <c r="B15" s="23" t="s">
        <v>25</v>
      </c>
      <c r="C15" s="25">
        <f t="shared" ref="C15:F15" si="1">AVERAGE(C7:C12)</f>
        <v>5.03</v>
      </c>
      <c r="D15" s="1">
        <f t="shared" si="1"/>
        <v>0.23933333333333331</v>
      </c>
      <c r="E15" s="25">
        <f t="shared" si="1"/>
        <v>5.2833333333333336E-2</v>
      </c>
      <c r="F15" s="25">
        <f t="shared" si="1"/>
        <v>1.0008333333333335</v>
      </c>
    </row>
    <row r="27" spans="7:7" ht="13.2" x14ac:dyDescent="0.25">
      <c r="G27" s="6"/>
    </row>
  </sheetData>
  <dataValidations count="1">
    <dataValidation type="list" allowBlank="1" showErrorMessage="1" sqref="D4" xr:uid="{BD2AF130-3772-44A3-ADED-2B3E64786803}">
      <formula1>"Laki-Laki,Perempuan"</formula1>
    </dataValidation>
  </dataValidations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C595-E387-40A9-9A54-23A3683D4240}">
  <sheetPr>
    <outlinePr summaryBelow="0" summaryRight="0"/>
  </sheetPr>
  <dimension ref="A2:G27"/>
  <sheetViews>
    <sheetView workbookViewId="0">
      <selection activeCell="G27" sqref="G27"/>
    </sheetView>
  </sheetViews>
  <sheetFormatPr defaultColWidth="12.5546875" defaultRowHeight="15.75" customHeight="1" x14ac:dyDescent="0.25"/>
  <cols>
    <col min="1" max="1" width="4.88671875" customWidth="1"/>
    <col min="2" max="2" width="7.44140625" customWidth="1"/>
    <col min="3" max="3" width="21" customWidth="1"/>
    <col min="4" max="4" width="22.6640625" customWidth="1"/>
    <col min="5" max="5" width="20.5546875" customWidth="1"/>
    <col min="6" max="6" width="18.88671875" customWidth="1"/>
    <col min="7" max="7" width="6.21875" customWidth="1"/>
  </cols>
  <sheetData>
    <row r="2" spans="1:6" ht="15.75" customHeight="1" x14ac:dyDescent="0.25">
      <c r="C2" s="4" t="s">
        <v>14</v>
      </c>
      <c r="D2" s="1" t="s">
        <v>15</v>
      </c>
    </row>
    <row r="3" spans="1:6" ht="15.75" customHeight="1" x14ac:dyDescent="0.25">
      <c r="C3" s="4" t="s">
        <v>16</v>
      </c>
      <c r="D3" s="1">
        <v>20</v>
      </c>
    </row>
    <row r="4" spans="1:6" ht="15.75" customHeight="1" x14ac:dyDescent="0.25">
      <c r="C4" s="4" t="s">
        <v>17</v>
      </c>
      <c r="D4" s="1" t="s">
        <v>18</v>
      </c>
    </row>
    <row r="6" spans="1:6" ht="15.75" customHeight="1" x14ac:dyDescent="0.25">
      <c r="A6" s="6"/>
      <c r="B6" s="21" t="s">
        <v>19</v>
      </c>
      <c r="C6" s="21" t="s">
        <v>20</v>
      </c>
      <c r="D6" s="21" t="s">
        <v>21</v>
      </c>
      <c r="E6" s="21" t="s">
        <v>22</v>
      </c>
      <c r="F6" s="21" t="s">
        <v>23</v>
      </c>
    </row>
    <row r="7" spans="1:6" ht="15.75" customHeight="1" x14ac:dyDescent="0.25">
      <c r="B7" s="22">
        <v>1</v>
      </c>
      <c r="C7" s="1">
        <v>5.36</v>
      </c>
      <c r="D7" s="1">
        <v>0.17299999999999999</v>
      </c>
      <c r="E7" s="1">
        <v>4.3999999999999997E-2</v>
      </c>
      <c r="F7" s="1">
        <v>0.72899999999999998</v>
      </c>
    </row>
    <row r="8" spans="1:6" ht="15.75" customHeight="1" x14ac:dyDescent="0.25">
      <c r="B8" s="22">
        <v>2</v>
      </c>
      <c r="C8" s="1">
        <v>5.12</v>
      </c>
      <c r="D8" s="1">
        <v>0.20399999999999999</v>
      </c>
      <c r="E8" s="1">
        <v>5.3999999999999999E-2</v>
      </c>
      <c r="F8" s="1">
        <v>0.86499999999999999</v>
      </c>
    </row>
    <row r="9" spans="1:6" ht="15.75" customHeight="1" x14ac:dyDescent="0.25">
      <c r="B9" s="22">
        <v>3</v>
      </c>
      <c r="C9" s="1">
        <v>3.59</v>
      </c>
      <c r="D9" s="1">
        <v>0.151</v>
      </c>
      <c r="E9" s="1">
        <v>3.7999999999999999E-2</v>
      </c>
      <c r="F9" s="1">
        <v>0.63700000000000001</v>
      </c>
    </row>
    <row r="10" spans="1:6" ht="15.75" customHeight="1" x14ac:dyDescent="0.25">
      <c r="B10" s="22">
        <v>4</v>
      </c>
      <c r="C10" s="1">
        <v>3.75</v>
      </c>
      <c r="D10" s="1">
        <v>0.183</v>
      </c>
      <c r="E10" s="1">
        <v>3.9E-2</v>
      </c>
      <c r="F10" s="1">
        <v>0.76300000000000001</v>
      </c>
    </row>
    <row r="11" spans="1:6" ht="15.75" customHeight="1" x14ac:dyDescent="0.25">
      <c r="B11" s="22">
        <v>5</v>
      </c>
      <c r="C11" s="1">
        <v>4.6900000000000004</v>
      </c>
      <c r="D11" s="1">
        <v>0.22800000000000001</v>
      </c>
      <c r="E11" s="1">
        <v>4.9000000000000002E-2</v>
      </c>
      <c r="F11" s="1">
        <v>0.95199999999999996</v>
      </c>
    </row>
    <row r="12" spans="1:6" ht="15.75" customHeight="1" x14ac:dyDescent="0.25">
      <c r="B12" s="22">
        <v>6</v>
      </c>
      <c r="C12" s="1">
        <v>4.2699999999999996</v>
      </c>
      <c r="D12" s="1">
        <v>0.21199999999999999</v>
      </c>
      <c r="E12" s="1">
        <v>4.4999999999999998E-2</v>
      </c>
      <c r="F12" s="1">
        <v>0.88400000000000001</v>
      </c>
    </row>
    <row r="13" spans="1:6" ht="15.75" customHeight="1" x14ac:dyDescent="0.25">
      <c r="B13" s="6"/>
    </row>
    <row r="14" spans="1:6" ht="15.75" customHeight="1" x14ac:dyDescent="0.25">
      <c r="B14" s="23" t="s">
        <v>24</v>
      </c>
      <c r="C14" s="1">
        <f t="shared" ref="C14:F14" si="0">SUM(C7:C12)</f>
        <v>26.78</v>
      </c>
      <c r="D14" s="1">
        <f t="shared" si="0"/>
        <v>1.151</v>
      </c>
      <c r="E14" s="1">
        <f t="shared" si="0"/>
        <v>0.26900000000000002</v>
      </c>
      <c r="F14" s="24">
        <f t="shared" si="0"/>
        <v>4.83</v>
      </c>
    </row>
    <row r="15" spans="1:6" ht="15.75" customHeight="1" x14ac:dyDescent="0.25">
      <c r="B15" s="23" t="s">
        <v>25</v>
      </c>
      <c r="C15" s="25">
        <f t="shared" ref="C15:F15" si="1">AVERAGE(C7:C12)</f>
        <v>4.4633333333333338</v>
      </c>
      <c r="D15" s="1">
        <f t="shared" si="1"/>
        <v>0.19183333333333333</v>
      </c>
      <c r="E15" s="25">
        <f t="shared" si="1"/>
        <v>4.4833333333333336E-2</v>
      </c>
      <c r="F15" s="25">
        <f t="shared" si="1"/>
        <v>0.80500000000000005</v>
      </c>
    </row>
    <row r="27" spans="7:7" ht="13.2" x14ac:dyDescent="0.25">
      <c r="G27" s="6"/>
    </row>
  </sheetData>
  <dataValidations count="1">
    <dataValidation type="list" allowBlank="1" showErrorMessage="1" sqref="D4" xr:uid="{A7DE17DB-14E1-4CD5-B4EF-35EC3E656D73}">
      <formula1>"Laki-Laki,Perempuan"</formula1>
    </dataValidation>
  </dataValidations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8550-5892-47B9-82A0-486042F8FF4B}">
  <sheetPr>
    <outlinePr summaryBelow="0" summaryRight="0"/>
  </sheetPr>
  <dimension ref="A2:F15"/>
  <sheetViews>
    <sheetView workbookViewId="0">
      <selection activeCell="F24" sqref="F24"/>
    </sheetView>
  </sheetViews>
  <sheetFormatPr defaultColWidth="12.5546875" defaultRowHeight="15.75" customHeight="1" x14ac:dyDescent="0.25"/>
  <cols>
    <col min="1" max="1" width="4.88671875" customWidth="1"/>
    <col min="2" max="2" width="7.44140625" customWidth="1"/>
    <col min="3" max="3" width="21" customWidth="1"/>
    <col min="4" max="4" width="22.6640625" customWidth="1"/>
    <col min="5" max="5" width="20.5546875" customWidth="1"/>
    <col min="6" max="6" width="18.88671875" customWidth="1"/>
    <col min="7" max="7" width="6.21875" customWidth="1"/>
  </cols>
  <sheetData>
    <row r="2" spans="1:6" ht="15.75" customHeight="1" x14ac:dyDescent="0.25">
      <c r="C2" s="4" t="s">
        <v>14</v>
      </c>
      <c r="D2" s="1" t="s">
        <v>15</v>
      </c>
    </row>
    <row r="3" spans="1:6" ht="15.75" customHeight="1" x14ac:dyDescent="0.25">
      <c r="C3" s="4" t="s">
        <v>16</v>
      </c>
      <c r="D3" s="1">
        <v>20</v>
      </c>
    </row>
    <row r="4" spans="1:6" ht="15.75" customHeight="1" x14ac:dyDescent="0.25">
      <c r="C4" s="4" t="s">
        <v>17</v>
      </c>
      <c r="D4" s="1" t="s">
        <v>18</v>
      </c>
    </row>
    <row r="6" spans="1:6" ht="15.75" customHeight="1" x14ac:dyDescent="0.25">
      <c r="A6" s="6"/>
      <c r="B6" s="21" t="s">
        <v>19</v>
      </c>
      <c r="C6" s="21" t="s">
        <v>20</v>
      </c>
      <c r="D6" s="21" t="s">
        <v>21</v>
      </c>
      <c r="E6" s="21" t="s">
        <v>22</v>
      </c>
      <c r="F6" s="21" t="s">
        <v>23</v>
      </c>
    </row>
    <row r="7" spans="1:6" ht="15.75" customHeight="1" x14ac:dyDescent="0.25">
      <c r="B7" s="22">
        <v>1</v>
      </c>
      <c r="C7" s="1">
        <v>4.09</v>
      </c>
      <c r="D7" s="1">
        <v>0.193</v>
      </c>
      <c r="E7" s="1">
        <v>4.2999999999999997E-2</v>
      </c>
      <c r="F7" s="1">
        <v>0.80800000000000005</v>
      </c>
    </row>
    <row r="8" spans="1:6" ht="15.75" customHeight="1" x14ac:dyDescent="0.25">
      <c r="B8" s="22">
        <v>2</v>
      </c>
      <c r="C8" s="1">
        <v>3.68</v>
      </c>
      <c r="D8" s="1">
        <v>0.192</v>
      </c>
      <c r="E8" s="1">
        <v>3.9E-2</v>
      </c>
      <c r="F8" s="1">
        <v>0.80100000000000005</v>
      </c>
    </row>
    <row r="9" spans="1:6" ht="15.75" customHeight="1" x14ac:dyDescent="0.25">
      <c r="B9" s="22">
        <v>3</v>
      </c>
      <c r="C9" s="1">
        <v>4.5999999999999996</v>
      </c>
      <c r="D9" s="1">
        <v>0.27</v>
      </c>
      <c r="E9" s="1">
        <v>4.8000000000000001E-2</v>
      </c>
      <c r="F9" s="1">
        <v>1.1160000000000001</v>
      </c>
    </row>
    <row r="10" spans="1:6" ht="15.75" customHeight="1" x14ac:dyDescent="0.25">
      <c r="B10" s="22">
        <v>4</v>
      </c>
      <c r="C10" s="1">
        <v>3.81</v>
      </c>
      <c r="D10" s="1">
        <v>0.2</v>
      </c>
      <c r="E10" s="1">
        <v>0.04</v>
      </c>
      <c r="F10" s="1">
        <v>0.83299999999999996</v>
      </c>
    </row>
    <row r="11" spans="1:6" ht="15.75" customHeight="1" x14ac:dyDescent="0.25">
      <c r="B11" s="22">
        <v>5</v>
      </c>
      <c r="C11" s="1">
        <v>4.3099999999999996</v>
      </c>
      <c r="D11" s="1">
        <v>0.23100000000000001</v>
      </c>
      <c r="E11" s="1">
        <v>4.4999999999999998E-2</v>
      </c>
      <c r="F11" s="1">
        <v>0.96099999999999997</v>
      </c>
    </row>
    <row r="12" spans="1:6" ht="15.75" customHeight="1" x14ac:dyDescent="0.25">
      <c r="B12" s="22">
        <v>6</v>
      </c>
      <c r="C12" s="1">
        <v>4.9000000000000004</v>
      </c>
      <c r="D12" s="1">
        <v>0.22800000000000001</v>
      </c>
      <c r="E12" s="1">
        <v>5.0999999999999997E-2</v>
      </c>
      <c r="F12" s="1">
        <v>0.95699999999999996</v>
      </c>
    </row>
    <row r="13" spans="1:6" ht="15.75" customHeight="1" x14ac:dyDescent="0.25">
      <c r="B13" s="6"/>
    </row>
    <row r="14" spans="1:6" ht="15.75" customHeight="1" x14ac:dyDescent="0.25">
      <c r="B14" s="23" t="s">
        <v>24</v>
      </c>
      <c r="C14" s="1">
        <f t="shared" ref="C14:F14" si="0">SUM(C7:C12)</f>
        <v>25.39</v>
      </c>
      <c r="D14" s="1">
        <f t="shared" si="0"/>
        <v>1.3140000000000001</v>
      </c>
      <c r="E14" s="1">
        <f t="shared" si="0"/>
        <v>0.26600000000000001</v>
      </c>
      <c r="F14" s="24">
        <f t="shared" si="0"/>
        <v>5.476</v>
      </c>
    </row>
    <row r="15" spans="1:6" ht="15.75" customHeight="1" x14ac:dyDescent="0.25">
      <c r="B15" s="23" t="s">
        <v>25</v>
      </c>
      <c r="C15" s="25">
        <f t="shared" ref="C15:F15" si="1">AVERAGE(C7:C12)</f>
        <v>4.2316666666666665</v>
      </c>
      <c r="D15" s="1">
        <f t="shared" si="1"/>
        <v>0.219</v>
      </c>
      <c r="E15" s="25">
        <f t="shared" si="1"/>
        <v>4.4333333333333336E-2</v>
      </c>
      <c r="F15" s="25">
        <f t="shared" si="1"/>
        <v>0.91266666666666663</v>
      </c>
    </row>
  </sheetData>
  <dataValidations count="1">
    <dataValidation type="list" allowBlank="1" showErrorMessage="1" sqref="D4" xr:uid="{09CF7446-B5DF-4E5F-9B3B-ED7ECBC6D9F4}">
      <formula1>"Laki-Laki,Perempuan"</formula1>
    </dataValidation>
  </dataValidations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C0B9-2128-4C55-9AC0-5E1518931C1F}">
  <sheetPr>
    <outlinePr summaryBelow="0" summaryRight="0"/>
  </sheetPr>
  <dimension ref="A2:F15"/>
  <sheetViews>
    <sheetView workbookViewId="0">
      <selection activeCell="K24" sqref="K24"/>
    </sheetView>
  </sheetViews>
  <sheetFormatPr defaultColWidth="12.5546875" defaultRowHeight="15.75" customHeight="1" x14ac:dyDescent="0.25"/>
  <cols>
    <col min="1" max="1" width="4.88671875" customWidth="1"/>
    <col min="2" max="2" width="7.44140625" customWidth="1"/>
    <col min="3" max="3" width="21" customWidth="1"/>
    <col min="4" max="4" width="22.6640625" customWidth="1"/>
    <col min="5" max="5" width="20.5546875" customWidth="1"/>
    <col min="6" max="6" width="18.88671875" customWidth="1"/>
    <col min="7" max="7" width="6.21875" customWidth="1"/>
  </cols>
  <sheetData>
    <row r="2" spans="1:6" ht="15.75" customHeight="1" x14ac:dyDescent="0.25">
      <c r="C2" s="4" t="s">
        <v>14</v>
      </c>
      <c r="D2" s="1" t="s">
        <v>15</v>
      </c>
    </row>
    <row r="3" spans="1:6" ht="15.75" customHeight="1" x14ac:dyDescent="0.25">
      <c r="C3" s="4" t="s">
        <v>16</v>
      </c>
      <c r="D3" s="1">
        <v>20</v>
      </c>
    </row>
    <row r="4" spans="1:6" ht="15.75" customHeight="1" x14ac:dyDescent="0.25">
      <c r="C4" s="4" t="s">
        <v>17</v>
      </c>
      <c r="D4" s="1" t="s">
        <v>18</v>
      </c>
    </row>
    <row r="6" spans="1:6" ht="15.75" customHeight="1" x14ac:dyDescent="0.25">
      <c r="A6" s="6"/>
      <c r="B6" s="21" t="s">
        <v>19</v>
      </c>
      <c r="C6" s="21" t="s">
        <v>20</v>
      </c>
      <c r="D6" s="21" t="s">
        <v>21</v>
      </c>
      <c r="E6" s="21" t="s">
        <v>22</v>
      </c>
      <c r="F6" s="21" t="s">
        <v>23</v>
      </c>
    </row>
    <row r="7" spans="1:6" ht="15.75" customHeight="1" x14ac:dyDescent="0.25">
      <c r="B7" s="22">
        <v>1</v>
      </c>
      <c r="C7" s="1">
        <v>6.14</v>
      </c>
      <c r="D7" s="1">
        <v>0.26200000000000001</v>
      </c>
      <c r="E7" s="1">
        <v>6.4000000000000001E-2</v>
      </c>
      <c r="F7" s="1">
        <v>1.103</v>
      </c>
    </row>
    <row r="8" spans="1:6" ht="15.75" customHeight="1" x14ac:dyDescent="0.25">
      <c r="B8" s="22">
        <v>2</v>
      </c>
      <c r="C8" s="1">
        <v>6.63</v>
      </c>
      <c r="D8" s="1">
        <v>0.36699999999999999</v>
      </c>
      <c r="E8" s="1">
        <v>7.0000000000000007E-2</v>
      </c>
      <c r="F8" s="1">
        <v>1.522</v>
      </c>
    </row>
    <row r="9" spans="1:6" ht="15.75" customHeight="1" x14ac:dyDescent="0.25">
      <c r="B9" s="22">
        <v>3</v>
      </c>
      <c r="C9" s="1">
        <v>6.14</v>
      </c>
      <c r="D9" s="1">
        <v>0.34300000000000003</v>
      </c>
      <c r="E9" s="1">
        <v>6.4000000000000001E-2</v>
      </c>
      <c r="F9" s="1">
        <v>1.421</v>
      </c>
    </row>
    <row r="10" spans="1:6" ht="15.75" customHeight="1" x14ac:dyDescent="0.25">
      <c r="B10" s="22">
        <v>4</v>
      </c>
      <c r="C10" s="1">
        <v>5.94</v>
      </c>
      <c r="D10" s="1">
        <v>0.32900000000000001</v>
      </c>
      <c r="E10" s="1">
        <v>6.2E-2</v>
      </c>
      <c r="F10" s="1">
        <v>1.3640000000000001</v>
      </c>
    </row>
    <row r="11" spans="1:6" ht="15.75" customHeight="1" x14ac:dyDescent="0.25">
      <c r="B11" s="22">
        <v>5</v>
      </c>
      <c r="C11" s="1">
        <v>5.59</v>
      </c>
      <c r="D11" s="1">
        <v>0.313</v>
      </c>
      <c r="E11" s="1">
        <v>5.8999999999999997E-2</v>
      </c>
      <c r="F11" s="1">
        <v>1.2969999999999999</v>
      </c>
    </row>
    <row r="12" spans="1:6" ht="15.75" customHeight="1" x14ac:dyDescent="0.25">
      <c r="B12" s="22">
        <v>6</v>
      </c>
      <c r="C12" s="1">
        <v>6.47</v>
      </c>
      <c r="D12" s="1">
        <v>0.371</v>
      </c>
      <c r="E12" s="1">
        <v>6.8000000000000005E-2</v>
      </c>
      <c r="F12" s="1">
        <v>1.536</v>
      </c>
    </row>
    <row r="13" spans="1:6" ht="15.75" customHeight="1" x14ac:dyDescent="0.25">
      <c r="B13" s="6"/>
    </row>
    <row r="14" spans="1:6" ht="15.75" customHeight="1" x14ac:dyDescent="0.25">
      <c r="B14" s="23" t="s">
        <v>24</v>
      </c>
      <c r="C14" s="1">
        <f t="shared" ref="C14:F14" si="0">SUM(C7:C12)</f>
        <v>36.910000000000004</v>
      </c>
      <c r="D14" s="1">
        <f t="shared" si="0"/>
        <v>1.9849999999999999</v>
      </c>
      <c r="E14" s="1">
        <f t="shared" si="0"/>
        <v>0.38700000000000001</v>
      </c>
      <c r="F14" s="24">
        <f t="shared" si="0"/>
        <v>8.2430000000000003</v>
      </c>
    </row>
    <row r="15" spans="1:6" ht="15.75" customHeight="1" x14ac:dyDescent="0.25">
      <c r="B15" s="23" t="s">
        <v>25</v>
      </c>
      <c r="C15" s="25">
        <f t="shared" ref="C15:F15" si="1">AVERAGE(C7:C12)</f>
        <v>6.1516666666666673</v>
      </c>
      <c r="D15" s="1">
        <f t="shared" si="1"/>
        <v>0.33083333333333331</v>
      </c>
      <c r="E15" s="25">
        <f t="shared" si="1"/>
        <v>6.4500000000000002E-2</v>
      </c>
      <c r="F15" s="25">
        <f t="shared" si="1"/>
        <v>1.3738333333333335</v>
      </c>
    </row>
  </sheetData>
  <dataValidations count="1">
    <dataValidation type="list" allowBlank="1" showErrorMessage="1" sqref="D4" xr:uid="{1EF4B5B9-9FAE-4602-8D42-020B440CCC01}">
      <formula1>"Laki-Laki,Perempuan"</formula1>
    </dataValidation>
  </dataValidations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FDE1-F6ED-4BC0-9C75-F1857897DEB7}">
  <sheetPr>
    <outlinePr summaryBelow="0" summaryRight="0"/>
  </sheetPr>
  <dimension ref="A2:F15"/>
  <sheetViews>
    <sheetView workbookViewId="0">
      <selection activeCell="K24" sqref="K24"/>
    </sheetView>
  </sheetViews>
  <sheetFormatPr defaultColWidth="12.5546875" defaultRowHeight="15.75" customHeight="1" x14ac:dyDescent="0.25"/>
  <cols>
    <col min="1" max="1" width="4.88671875" customWidth="1"/>
    <col min="2" max="2" width="7.44140625" customWidth="1"/>
    <col min="3" max="3" width="21" customWidth="1"/>
    <col min="4" max="4" width="22.6640625" customWidth="1"/>
    <col min="5" max="5" width="20.5546875" customWidth="1"/>
    <col min="6" max="6" width="18.88671875" customWidth="1"/>
    <col min="7" max="7" width="6.21875" customWidth="1"/>
  </cols>
  <sheetData>
    <row r="2" spans="1:6" ht="15.75" customHeight="1" x14ac:dyDescent="0.25">
      <c r="C2" s="4" t="s">
        <v>14</v>
      </c>
      <c r="D2" s="1" t="s">
        <v>15</v>
      </c>
    </row>
    <row r="3" spans="1:6" ht="15.75" customHeight="1" x14ac:dyDescent="0.25">
      <c r="C3" s="4" t="s">
        <v>16</v>
      </c>
      <c r="D3" s="1">
        <v>20</v>
      </c>
    </row>
    <row r="4" spans="1:6" ht="15.75" customHeight="1" x14ac:dyDescent="0.25">
      <c r="C4" s="4" t="s">
        <v>17</v>
      </c>
      <c r="D4" s="1" t="s">
        <v>18</v>
      </c>
    </row>
    <row r="6" spans="1:6" ht="15.75" customHeight="1" x14ac:dyDescent="0.25">
      <c r="A6" s="6"/>
      <c r="B6" s="21" t="s">
        <v>19</v>
      </c>
      <c r="C6" s="21" t="s">
        <v>20</v>
      </c>
      <c r="D6" s="21" t="s">
        <v>21</v>
      </c>
      <c r="E6" s="21" t="s">
        <v>22</v>
      </c>
      <c r="F6" s="21" t="s">
        <v>23</v>
      </c>
    </row>
    <row r="7" spans="1:6" ht="15.75" customHeight="1" x14ac:dyDescent="0.25">
      <c r="B7" s="22">
        <v>1</v>
      </c>
      <c r="C7" s="1">
        <v>5.45</v>
      </c>
      <c r="D7" s="1">
        <v>0.29199999999999998</v>
      </c>
      <c r="E7" s="1">
        <v>5.7000000000000002E-2</v>
      </c>
      <c r="F7" s="1">
        <v>1.216</v>
      </c>
    </row>
    <row r="8" spans="1:6" ht="15.75" customHeight="1" x14ac:dyDescent="0.25">
      <c r="B8" s="22">
        <v>2</v>
      </c>
      <c r="C8" s="1">
        <v>6.03</v>
      </c>
      <c r="D8" s="1">
        <v>0.373</v>
      </c>
      <c r="E8" s="1">
        <v>6.3E-2</v>
      </c>
      <c r="F8" s="1">
        <v>1.538</v>
      </c>
    </row>
    <row r="9" spans="1:6" ht="15.75" customHeight="1" x14ac:dyDescent="0.25">
      <c r="B9" s="22">
        <v>3</v>
      </c>
      <c r="C9" s="1">
        <v>6.83</v>
      </c>
      <c r="D9" s="1">
        <v>0.41499999999999998</v>
      </c>
      <c r="E9" s="1">
        <v>7.1999999999999995E-2</v>
      </c>
      <c r="F9" s="1">
        <v>1.7150000000000001</v>
      </c>
    </row>
    <row r="10" spans="1:6" ht="15.75" customHeight="1" x14ac:dyDescent="0.25">
      <c r="B10" s="22">
        <v>4</v>
      </c>
      <c r="C10" s="1">
        <v>6.46</v>
      </c>
      <c r="D10" s="1">
        <v>0.38100000000000001</v>
      </c>
      <c r="E10" s="1">
        <v>6.8000000000000005E-2</v>
      </c>
      <c r="F10" s="1">
        <v>1.5760000000000001</v>
      </c>
    </row>
    <row r="11" spans="1:6" ht="15.75" customHeight="1" x14ac:dyDescent="0.25">
      <c r="B11" s="22">
        <v>5</v>
      </c>
      <c r="C11" s="1">
        <v>6.9</v>
      </c>
      <c r="D11" s="1">
        <v>0.40500000000000003</v>
      </c>
      <c r="E11" s="1">
        <v>7.2999999999999995E-2</v>
      </c>
      <c r="F11" s="1">
        <v>1.6779999999999999</v>
      </c>
    </row>
    <row r="12" spans="1:6" ht="15.75" customHeight="1" x14ac:dyDescent="0.25">
      <c r="B12" s="22">
        <v>6</v>
      </c>
      <c r="C12" s="1">
        <v>6.39</v>
      </c>
      <c r="D12" s="1">
        <v>0.38600000000000001</v>
      </c>
      <c r="E12" s="1">
        <v>6.7000000000000004E-2</v>
      </c>
      <c r="F12" s="1">
        <v>1.597</v>
      </c>
    </row>
    <row r="13" spans="1:6" ht="15.75" customHeight="1" x14ac:dyDescent="0.25">
      <c r="B13" s="6"/>
    </row>
    <row r="14" spans="1:6" ht="15.75" customHeight="1" x14ac:dyDescent="0.25">
      <c r="B14" s="23" t="s">
        <v>24</v>
      </c>
      <c r="C14" s="1">
        <f t="shared" ref="C14:F14" si="0">SUM(C7:C12)</f>
        <v>38.06</v>
      </c>
      <c r="D14" s="1">
        <f t="shared" si="0"/>
        <v>2.2520000000000002</v>
      </c>
      <c r="E14" s="1">
        <f t="shared" si="0"/>
        <v>0.4</v>
      </c>
      <c r="F14" s="24">
        <f t="shared" si="0"/>
        <v>9.32</v>
      </c>
    </row>
    <row r="15" spans="1:6" ht="15.75" customHeight="1" x14ac:dyDescent="0.25">
      <c r="B15" s="23" t="s">
        <v>25</v>
      </c>
      <c r="C15" s="25">
        <f t="shared" ref="C15:F15" si="1">AVERAGE(C7:C12)</f>
        <v>6.3433333333333337</v>
      </c>
      <c r="D15" s="1">
        <f t="shared" si="1"/>
        <v>0.37533333333333335</v>
      </c>
      <c r="E15" s="25">
        <f t="shared" si="1"/>
        <v>6.6666666666666666E-2</v>
      </c>
      <c r="F15" s="25">
        <f t="shared" si="1"/>
        <v>1.5533333333333335</v>
      </c>
    </row>
  </sheetData>
  <dataValidations count="1">
    <dataValidation type="list" allowBlank="1" showErrorMessage="1" sqref="D4" xr:uid="{0AABC5B3-6896-4DAF-8A90-537457300F36}">
      <formula1>"Laki-Laki,Perempuan"</formula1>
    </dataValidation>
  </dataValidations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36FA-3DA7-4181-AB30-49C631F8E46A}">
  <sheetPr>
    <outlinePr summaryBelow="0" summaryRight="0"/>
  </sheetPr>
  <dimension ref="A2:F15"/>
  <sheetViews>
    <sheetView tabSelected="1" workbookViewId="0">
      <selection activeCell="K24" sqref="K24"/>
    </sheetView>
  </sheetViews>
  <sheetFormatPr defaultColWidth="12.5546875" defaultRowHeight="15.75" customHeight="1" x14ac:dyDescent="0.25"/>
  <cols>
    <col min="1" max="1" width="4.88671875" customWidth="1"/>
    <col min="2" max="2" width="7.44140625" customWidth="1"/>
    <col min="3" max="3" width="21" customWidth="1"/>
    <col min="4" max="4" width="22.6640625" customWidth="1"/>
    <col min="5" max="5" width="20.5546875" customWidth="1"/>
    <col min="6" max="6" width="18.88671875" customWidth="1"/>
    <col min="7" max="7" width="6.21875" customWidth="1"/>
  </cols>
  <sheetData>
    <row r="2" spans="1:6" ht="15.75" customHeight="1" x14ac:dyDescent="0.25">
      <c r="C2" s="4" t="s">
        <v>14</v>
      </c>
      <c r="D2" s="1" t="s">
        <v>15</v>
      </c>
    </row>
    <row r="3" spans="1:6" ht="15.75" customHeight="1" x14ac:dyDescent="0.25">
      <c r="C3" s="4" t="s">
        <v>16</v>
      </c>
      <c r="D3" s="1">
        <v>20</v>
      </c>
    </row>
    <row r="4" spans="1:6" ht="15.75" customHeight="1" x14ac:dyDescent="0.25">
      <c r="C4" s="4" t="s">
        <v>17</v>
      </c>
      <c r="D4" s="1" t="s">
        <v>18</v>
      </c>
    </row>
    <row r="6" spans="1:6" ht="15.75" customHeight="1" x14ac:dyDescent="0.25">
      <c r="A6" s="6"/>
      <c r="B6" s="21" t="s">
        <v>19</v>
      </c>
      <c r="C6" s="21" t="s">
        <v>20</v>
      </c>
      <c r="D6" s="21" t="s">
        <v>21</v>
      </c>
      <c r="E6" s="21" t="s">
        <v>22</v>
      </c>
      <c r="F6" s="21" t="s">
        <v>23</v>
      </c>
    </row>
    <row r="7" spans="1:6" ht="15.75" customHeight="1" x14ac:dyDescent="0.25">
      <c r="B7" s="22">
        <v>1</v>
      </c>
      <c r="C7" s="1">
        <v>5.81</v>
      </c>
      <c r="D7" s="1">
        <v>0.3</v>
      </c>
      <c r="E7" s="1">
        <v>6.0999999999999999E-2</v>
      </c>
      <c r="F7" s="1">
        <v>1.252</v>
      </c>
    </row>
    <row r="8" spans="1:6" ht="15.75" customHeight="1" x14ac:dyDescent="0.25">
      <c r="B8" s="22">
        <v>2</v>
      </c>
      <c r="C8" s="1">
        <v>6.03</v>
      </c>
      <c r="D8" s="1">
        <v>0.38400000000000001</v>
      </c>
      <c r="E8" s="1">
        <v>6.3E-2</v>
      </c>
      <c r="F8" s="1">
        <v>1.583</v>
      </c>
    </row>
    <row r="9" spans="1:6" ht="15.75" customHeight="1" x14ac:dyDescent="0.25">
      <c r="B9" s="22">
        <v>3</v>
      </c>
      <c r="C9" s="1">
        <v>5.96</v>
      </c>
      <c r="D9" s="1">
        <v>0.34499999999999997</v>
      </c>
      <c r="E9" s="1">
        <v>6.3E-2</v>
      </c>
      <c r="F9" s="1">
        <v>1.4279999999999999</v>
      </c>
    </row>
    <row r="10" spans="1:6" ht="15.75" customHeight="1" x14ac:dyDescent="0.25">
      <c r="B10" s="22">
        <v>4</v>
      </c>
      <c r="C10" s="1">
        <v>6.25</v>
      </c>
      <c r="D10" s="1">
        <v>0.35</v>
      </c>
      <c r="E10" s="1">
        <v>0.66</v>
      </c>
      <c r="F10" s="1">
        <v>1.4530000000000001</v>
      </c>
    </row>
    <row r="11" spans="1:6" ht="15.75" customHeight="1" x14ac:dyDescent="0.25">
      <c r="B11" s="22">
        <v>5</v>
      </c>
      <c r="C11" s="1">
        <v>6.33</v>
      </c>
      <c r="D11" s="1">
        <v>0.375</v>
      </c>
      <c r="E11" s="1">
        <v>0.66</v>
      </c>
      <c r="F11" s="1">
        <v>1.552</v>
      </c>
    </row>
    <row r="12" spans="1:6" ht="15.75" customHeight="1" x14ac:dyDescent="0.25">
      <c r="B12" s="22">
        <v>6</v>
      </c>
      <c r="C12" s="1">
        <v>6.26</v>
      </c>
      <c r="D12" s="1">
        <v>0.36199999999999999</v>
      </c>
      <c r="E12" s="1">
        <v>6.6000000000000003E-2</v>
      </c>
      <c r="F12" s="1">
        <v>1.498</v>
      </c>
    </row>
    <row r="13" spans="1:6" ht="15.75" customHeight="1" x14ac:dyDescent="0.25">
      <c r="B13" s="6"/>
    </row>
    <row r="14" spans="1:6" ht="15.75" customHeight="1" x14ac:dyDescent="0.25">
      <c r="B14" s="23" t="s">
        <v>24</v>
      </c>
      <c r="C14" s="1">
        <f t="shared" ref="C14:F14" si="0">SUM(C7:C12)</f>
        <v>36.64</v>
      </c>
      <c r="D14" s="1">
        <f t="shared" si="0"/>
        <v>2.1160000000000001</v>
      </c>
      <c r="E14" s="1">
        <f t="shared" si="0"/>
        <v>1.5730000000000002</v>
      </c>
      <c r="F14" s="24">
        <f t="shared" si="0"/>
        <v>8.766</v>
      </c>
    </row>
    <row r="15" spans="1:6" ht="15.75" customHeight="1" x14ac:dyDescent="0.25">
      <c r="B15" s="23" t="s">
        <v>25</v>
      </c>
      <c r="C15" s="25">
        <f t="shared" ref="C15:F15" si="1">AVERAGE(C7:C12)</f>
        <v>6.1066666666666665</v>
      </c>
      <c r="D15" s="1">
        <f t="shared" si="1"/>
        <v>0.35266666666666668</v>
      </c>
      <c r="E15" s="25">
        <f t="shared" si="1"/>
        <v>0.26216666666666671</v>
      </c>
      <c r="F15" s="25">
        <f t="shared" si="1"/>
        <v>1.4610000000000001</v>
      </c>
    </row>
  </sheetData>
  <dataValidations count="1">
    <dataValidation type="list" allowBlank="1" showErrorMessage="1" sqref="D4" xr:uid="{4943DB61-0DE3-4267-B643-6BD107132FE9}">
      <formula1>"Laki-Laki,Perempuan"</formula1>
    </dataValidation>
  </dataValidations>
  <pageMargins left="0" right="0" top="0.25" bottom="0.25" header="0" footer="0"/>
  <pageSetup paperSize="5" orientation="portrait" horizontalDpi="300" verticalDpi="300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H29"/>
  <sheetViews>
    <sheetView workbookViewId="0"/>
  </sheetViews>
  <sheetFormatPr defaultColWidth="12.5546875" defaultRowHeight="15.75" customHeight="1" x14ac:dyDescent="0.25"/>
  <cols>
    <col min="2" max="2" width="6.33203125" customWidth="1"/>
    <col min="3" max="3" width="15.33203125" customWidth="1"/>
    <col min="4" max="4" width="16.109375" customWidth="1"/>
    <col min="8" max="8" width="19.109375" customWidth="1"/>
  </cols>
  <sheetData>
    <row r="2" spans="2:6" x14ac:dyDescent="0.25">
      <c r="B2" s="7" t="s">
        <v>8</v>
      </c>
      <c r="C2" s="8"/>
      <c r="D2" s="8"/>
      <c r="E2" s="8"/>
      <c r="F2" s="9"/>
    </row>
    <row r="3" spans="2:6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2:6" x14ac:dyDescent="0.25">
      <c r="B4" s="1"/>
      <c r="C4" s="1">
        <v>0</v>
      </c>
      <c r="D4" s="1"/>
      <c r="E4" s="1"/>
      <c r="F4" s="2"/>
    </row>
    <row r="5" spans="2:6" x14ac:dyDescent="0.25">
      <c r="B5" s="1">
        <v>1</v>
      </c>
      <c r="C5" s="1">
        <v>134</v>
      </c>
      <c r="D5" s="1">
        <f t="shared" ref="D5:D29" si="0">C5-C4</f>
        <v>134</v>
      </c>
      <c r="E5" s="1">
        <f t="shared" ref="E5:E29" si="1">D5-100</f>
        <v>34</v>
      </c>
      <c r="F5" s="3">
        <f t="shared" ref="F5:F29" si="2">ABS(D5-100)/100</f>
        <v>0.34</v>
      </c>
    </row>
    <row r="6" spans="2:6" x14ac:dyDescent="0.25">
      <c r="B6" s="1">
        <v>2</v>
      </c>
      <c r="C6" s="1">
        <v>216</v>
      </c>
      <c r="D6" s="1">
        <f t="shared" si="0"/>
        <v>82</v>
      </c>
      <c r="E6" s="1">
        <f t="shared" si="1"/>
        <v>-18</v>
      </c>
      <c r="F6" s="3">
        <f t="shared" si="2"/>
        <v>0.18</v>
      </c>
    </row>
    <row r="7" spans="2:6" x14ac:dyDescent="0.25">
      <c r="B7" s="1">
        <v>3</v>
      </c>
      <c r="C7" s="1">
        <v>345</v>
      </c>
      <c r="D7" s="1">
        <f t="shared" si="0"/>
        <v>129</v>
      </c>
      <c r="E7" s="1">
        <f t="shared" si="1"/>
        <v>29</v>
      </c>
      <c r="F7" s="3">
        <f t="shared" si="2"/>
        <v>0.28999999999999998</v>
      </c>
    </row>
    <row r="8" spans="2:6" x14ac:dyDescent="0.25">
      <c r="B8" s="1">
        <v>4</v>
      </c>
      <c r="C8" s="1">
        <v>444</v>
      </c>
      <c r="D8" s="1">
        <f t="shared" si="0"/>
        <v>99</v>
      </c>
      <c r="E8" s="1">
        <f t="shared" si="1"/>
        <v>-1</v>
      </c>
      <c r="F8" s="3">
        <f t="shared" si="2"/>
        <v>0.01</v>
      </c>
    </row>
    <row r="9" spans="2:6" x14ac:dyDescent="0.25">
      <c r="B9" s="1">
        <v>5</v>
      </c>
      <c r="C9" s="1">
        <v>544</v>
      </c>
      <c r="D9" s="1">
        <f t="shared" si="0"/>
        <v>100</v>
      </c>
      <c r="E9" s="1">
        <f t="shared" si="1"/>
        <v>0</v>
      </c>
      <c r="F9" s="3">
        <f t="shared" si="2"/>
        <v>0</v>
      </c>
    </row>
    <row r="10" spans="2:6" x14ac:dyDescent="0.25">
      <c r="B10" s="1">
        <v>6</v>
      </c>
      <c r="C10" s="1">
        <v>635</v>
      </c>
      <c r="D10" s="1">
        <f t="shared" si="0"/>
        <v>91</v>
      </c>
      <c r="E10" s="1">
        <f t="shared" si="1"/>
        <v>-9</v>
      </c>
      <c r="F10" s="3">
        <f t="shared" si="2"/>
        <v>0.09</v>
      </c>
    </row>
    <row r="11" spans="2:6" x14ac:dyDescent="0.25">
      <c r="B11" s="1">
        <v>7</v>
      </c>
      <c r="C11" s="1">
        <v>716</v>
      </c>
      <c r="D11" s="1">
        <f t="shared" si="0"/>
        <v>81</v>
      </c>
      <c r="E11" s="1">
        <f t="shared" si="1"/>
        <v>-19</v>
      </c>
      <c r="F11" s="3">
        <f t="shared" si="2"/>
        <v>0.19</v>
      </c>
    </row>
    <row r="12" spans="2:6" x14ac:dyDescent="0.25">
      <c r="B12" s="1">
        <v>8</v>
      </c>
      <c r="C12" s="1">
        <v>812</v>
      </c>
      <c r="D12" s="1">
        <f t="shared" si="0"/>
        <v>96</v>
      </c>
      <c r="E12" s="1">
        <f t="shared" si="1"/>
        <v>-4</v>
      </c>
      <c r="F12" s="3">
        <f t="shared" si="2"/>
        <v>0.04</v>
      </c>
    </row>
    <row r="13" spans="2:6" x14ac:dyDescent="0.25">
      <c r="B13" s="1">
        <v>9</v>
      </c>
      <c r="C13" s="1">
        <v>923</v>
      </c>
      <c r="D13" s="1">
        <f t="shared" si="0"/>
        <v>111</v>
      </c>
      <c r="E13" s="1">
        <f t="shared" si="1"/>
        <v>11</v>
      </c>
      <c r="F13" s="3">
        <f t="shared" si="2"/>
        <v>0.11</v>
      </c>
    </row>
    <row r="14" spans="2:6" x14ac:dyDescent="0.25">
      <c r="B14" s="1">
        <v>10</v>
      </c>
      <c r="C14" s="1">
        <v>1024</v>
      </c>
      <c r="D14" s="1">
        <f t="shared" si="0"/>
        <v>101</v>
      </c>
      <c r="E14" s="1">
        <f t="shared" si="1"/>
        <v>1</v>
      </c>
      <c r="F14" s="3">
        <f t="shared" si="2"/>
        <v>0.01</v>
      </c>
    </row>
    <row r="15" spans="2:6" x14ac:dyDescent="0.25">
      <c r="B15" s="1">
        <v>11</v>
      </c>
      <c r="C15" s="1">
        <v>1119</v>
      </c>
      <c r="D15" s="1">
        <f t="shared" si="0"/>
        <v>95</v>
      </c>
      <c r="E15" s="1">
        <f t="shared" si="1"/>
        <v>-5</v>
      </c>
      <c r="F15" s="3">
        <f t="shared" si="2"/>
        <v>0.05</v>
      </c>
    </row>
    <row r="16" spans="2:6" x14ac:dyDescent="0.25">
      <c r="B16" s="1">
        <v>12</v>
      </c>
      <c r="C16" s="1">
        <v>1202</v>
      </c>
      <c r="D16" s="1">
        <f t="shared" si="0"/>
        <v>83</v>
      </c>
      <c r="E16" s="1">
        <f t="shared" si="1"/>
        <v>-17</v>
      </c>
      <c r="F16" s="3">
        <f t="shared" si="2"/>
        <v>0.17</v>
      </c>
    </row>
    <row r="17" spans="2:8" x14ac:dyDescent="0.25">
      <c r="B17" s="1">
        <v>13</v>
      </c>
      <c r="C17" s="1">
        <v>1291</v>
      </c>
      <c r="D17" s="1">
        <f t="shared" si="0"/>
        <v>89</v>
      </c>
      <c r="E17" s="1">
        <f t="shared" si="1"/>
        <v>-11</v>
      </c>
      <c r="F17" s="3">
        <f t="shared" si="2"/>
        <v>0.11</v>
      </c>
    </row>
    <row r="18" spans="2:8" x14ac:dyDescent="0.25">
      <c r="B18" s="1">
        <v>14</v>
      </c>
      <c r="C18" s="1">
        <v>1393</v>
      </c>
      <c r="D18" s="1">
        <f t="shared" si="0"/>
        <v>102</v>
      </c>
      <c r="E18" s="1">
        <f t="shared" si="1"/>
        <v>2</v>
      </c>
      <c r="F18" s="3">
        <f t="shared" si="2"/>
        <v>0.02</v>
      </c>
    </row>
    <row r="19" spans="2:8" x14ac:dyDescent="0.25">
      <c r="B19" s="1">
        <v>15</v>
      </c>
      <c r="C19" s="1">
        <v>1513</v>
      </c>
      <c r="D19" s="1">
        <f t="shared" si="0"/>
        <v>120</v>
      </c>
      <c r="E19" s="1">
        <f t="shared" si="1"/>
        <v>20</v>
      </c>
      <c r="F19" s="3">
        <f t="shared" si="2"/>
        <v>0.2</v>
      </c>
    </row>
    <row r="20" spans="2:8" x14ac:dyDescent="0.25">
      <c r="B20" s="1">
        <v>16</v>
      </c>
      <c r="C20" s="1">
        <v>1610</v>
      </c>
      <c r="D20" s="1">
        <f t="shared" si="0"/>
        <v>97</v>
      </c>
      <c r="E20" s="1">
        <f t="shared" si="1"/>
        <v>-3</v>
      </c>
      <c r="F20" s="3">
        <f t="shared" si="2"/>
        <v>0.03</v>
      </c>
    </row>
    <row r="21" spans="2:8" x14ac:dyDescent="0.25">
      <c r="B21" s="1">
        <v>17</v>
      </c>
      <c r="C21" s="1">
        <v>1700</v>
      </c>
      <c r="D21" s="1">
        <f t="shared" si="0"/>
        <v>90</v>
      </c>
      <c r="E21" s="1">
        <f t="shared" si="1"/>
        <v>-10</v>
      </c>
      <c r="F21" s="3">
        <f t="shared" si="2"/>
        <v>0.1</v>
      </c>
    </row>
    <row r="22" spans="2:8" x14ac:dyDescent="0.25">
      <c r="B22" s="1">
        <v>18</v>
      </c>
      <c r="C22" s="1">
        <v>1796</v>
      </c>
      <c r="D22" s="1">
        <f t="shared" si="0"/>
        <v>96</v>
      </c>
      <c r="E22" s="1">
        <f t="shared" si="1"/>
        <v>-4</v>
      </c>
      <c r="F22" s="3">
        <f t="shared" si="2"/>
        <v>0.04</v>
      </c>
    </row>
    <row r="23" spans="2:8" x14ac:dyDescent="0.25">
      <c r="B23" s="1">
        <v>19</v>
      </c>
      <c r="C23" s="1">
        <v>1894</v>
      </c>
      <c r="D23" s="1">
        <f t="shared" si="0"/>
        <v>98</v>
      </c>
      <c r="E23" s="1">
        <f t="shared" si="1"/>
        <v>-2</v>
      </c>
      <c r="F23" s="3">
        <f t="shared" si="2"/>
        <v>0.02</v>
      </c>
    </row>
    <row r="24" spans="2:8" x14ac:dyDescent="0.25">
      <c r="B24" s="1">
        <v>20</v>
      </c>
      <c r="C24" s="1">
        <v>1989</v>
      </c>
      <c r="D24" s="1">
        <f t="shared" si="0"/>
        <v>95</v>
      </c>
      <c r="E24" s="1">
        <f t="shared" si="1"/>
        <v>-5</v>
      </c>
      <c r="F24" s="3">
        <f t="shared" si="2"/>
        <v>0.05</v>
      </c>
    </row>
    <row r="25" spans="2:8" x14ac:dyDescent="0.25">
      <c r="B25" s="1">
        <v>21</v>
      </c>
      <c r="C25" s="1">
        <v>2085</v>
      </c>
      <c r="D25" s="1">
        <f t="shared" si="0"/>
        <v>96</v>
      </c>
      <c r="E25" s="1">
        <f t="shared" si="1"/>
        <v>-4</v>
      </c>
      <c r="F25" s="3">
        <f t="shared" si="2"/>
        <v>0.04</v>
      </c>
    </row>
    <row r="26" spans="2:8" x14ac:dyDescent="0.25">
      <c r="B26" s="1">
        <v>22</v>
      </c>
      <c r="C26" s="1">
        <v>2211</v>
      </c>
      <c r="D26" s="1">
        <f t="shared" si="0"/>
        <v>126</v>
      </c>
      <c r="E26" s="1">
        <f t="shared" si="1"/>
        <v>26</v>
      </c>
      <c r="F26" s="3">
        <f t="shared" si="2"/>
        <v>0.26</v>
      </c>
    </row>
    <row r="27" spans="2:8" x14ac:dyDescent="0.25">
      <c r="B27" s="1">
        <v>23</v>
      </c>
      <c r="C27" s="1">
        <v>2322</v>
      </c>
      <c r="D27" s="1">
        <f t="shared" si="0"/>
        <v>111</v>
      </c>
      <c r="E27" s="1">
        <f t="shared" si="1"/>
        <v>11</v>
      </c>
      <c r="F27" s="3">
        <f t="shared" si="2"/>
        <v>0.11</v>
      </c>
    </row>
    <row r="28" spans="2:8" x14ac:dyDescent="0.25">
      <c r="B28" s="1">
        <v>24</v>
      </c>
      <c r="C28" s="1">
        <v>2427</v>
      </c>
      <c r="D28" s="1">
        <f t="shared" si="0"/>
        <v>105</v>
      </c>
      <c r="E28" s="1">
        <f t="shared" si="1"/>
        <v>5</v>
      </c>
      <c r="F28" s="3">
        <f t="shared" si="2"/>
        <v>0.05</v>
      </c>
      <c r="H28" s="4" t="s">
        <v>6</v>
      </c>
    </row>
    <row r="29" spans="2:8" x14ac:dyDescent="0.25">
      <c r="B29" s="1">
        <v>25</v>
      </c>
      <c r="C29" s="1">
        <v>2536</v>
      </c>
      <c r="D29" s="1">
        <f t="shared" si="0"/>
        <v>109</v>
      </c>
      <c r="E29" s="1">
        <f t="shared" si="1"/>
        <v>9</v>
      </c>
      <c r="F29" s="3">
        <f t="shared" si="2"/>
        <v>0.09</v>
      </c>
      <c r="H29" s="5">
        <f>AVERAGE(F5:F29)</f>
        <v>0.10400000000000001</v>
      </c>
    </row>
  </sheetData>
  <mergeCells count="1">
    <mergeCell ref="B2:F2"/>
  </mergeCells>
  <conditionalFormatting sqref="E5:E29">
    <cfRule type="cellIs" dxfId="24" priority="1" operator="equal">
      <formula>0</formula>
    </cfRule>
  </conditionalFormatting>
  <conditionalFormatting sqref="F5:F29">
    <cfRule type="cellIs" dxfId="23" priority="2" operator="between">
      <formula>0</formula>
      <formula>0.0099</formula>
    </cfRule>
    <cfRule type="cellIs" dxfId="22" priority="3" operator="greaterThan">
      <formula>0.15</formula>
    </cfRule>
    <cfRule type="cellIs" dxfId="21" priority="4" operator="between">
      <formula>0.01</formula>
      <formula>0.14</formula>
    </cfRule>
  </conditionalFormatting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3AC8D03E0F14599E65D1932C765FA" ma:contentTypeVersion="7" ma:contentTypeDescription="Create a new document." ma:contentTypeScope="" ma:versionID="0d65bacdd39a167325179ae4cbda2995">
  <xsd:schema xmlns:xsd="http://www.w3.org/2001/XMLSchema" xmlns:xs="http://www.w3.org/2001/XMLSchema" xmlns:p="http://schemas.microsoft.com/office/2006/metadata/properties" xmlns:ns2="acf0f3b0-9847-4d0f-9057-9b38e3efc8ec" targetNamespace="http://schemas.microsoft.com/office/2006/metadata/properties" ma:root="true" ma:fieldsID="2387e66150055b3969902d6d987cdd3d" ns2:_="">
    <xsd:import namespace="acf0f3b0-9847-4d0f-9057-9b38e3efc8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0f3b0-9847-4d0f-9057-9b38e3efc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7A989F-22BD-4BC4-B4C0-2838072F3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f0f3b0-9847-4d0f-9057-9b38e3efc8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A27220-D5FC-4108-8B93-F987D8AA55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93E9C3-ABA7-4E05-892F-999AE8247FD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500 cc 1s</vt:lpstr>
      <vt:lpstr>200 cc 0.75s</vt:lpstr>
      <vt:lpstr>Kalibrasi CO2 1</vt:lpstr>
      <vt:lpstr>Kalibrasi CO2 2</vt:lpstr>
      <vt:lpstr>Sheet2</vt:lpstr>
      <vt:lpstr>Kalibrasi O2 1</vt:lpstr>
      <vt:lpstr>Kalibrasi O2 2</vt:lpstr>
      <vt:lpstr>PENGAMBILAN DATA</vt:lpstr>
      <vt:lpstr>Istirahat #1</vt:lpstr>
      <vt:lpstr>Istirahat #2</vt:lpstr>
      <vt:lpstr>Istirahat #3</vt:lpstr>
      <vt:lpstr>Jalan 2 kmh #1</vt:lpstr>
      <vt:lpstr>Jalan 2 kmh #2</vt:lpstr>
      <vt:lpstr>Jalan 2 kmh #3</vt:lpstr>
      <vt:lpstr>Jogging 4 kmh #1</vt:lpstr>
      <vt:lpstr>Jogging 4 kmh #2</vt:lpstr>
      <vt:lpstr>Jogging 4kmh #3</vt:lpstr>
      <vt:lpstr>100 cc 0.5s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santosob</dc:creator>
  <cp:keywords/>
  <dc:description/>
  <cp:lastModifiedBy>Ir. Santoso Budijono, M.M.</cp:lastModifiedBy>
  <cp:revision/>
  <cp:lastPrinted>2026-06-19T01:30:56Z</cp:lastPrinted>
  <dcterms:created xsi:type="dcterms:W3CDTF">2026-04-06T11:40:53Z</dcterms:created>
  <dcterms:modified xsi:type="dcterms:W3CDTF">2026-06-19T01:33:13Z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0x0101007A53AC8D03E0F14599E65D1932C765FA</vt:lpwstr>
  </property>
</Properties>
</file>